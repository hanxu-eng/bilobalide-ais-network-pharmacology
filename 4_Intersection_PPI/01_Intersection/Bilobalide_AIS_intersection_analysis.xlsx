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683d33b5f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7083399fdff44f2"/>
    <x:sheet xmlns:r="http://schemas.openxmlformats.org/officeDocument/2006/relationships" name="Summary" sheetId="2" r:id="Rb1652f8e458b495b"/>
    <x:sheet xmlns:r="http://schemas.openxmlformats.org/officeDocument/2006/relationships" name="Strict_1" sheetId="3" r:id="Rc29b5350bd7a4266"/>
    <x:sheet xmlns:r="http://schemas.openxmlformats.org/officeDocument/2006/relationships" name="Primary_2" sheetId="4" r:id="R17872e1a15c94262"/>
    <x:sheet xmlns:r="http://schemas.openxmlformats.org/officeDocument/2006/relationships" name="Medium_6" sheetId="5" r:id="Re5231927a71940de"/>
    <x:sheet xmlns:r="http://schemas.openxmlformats.org/officeDocument/2006/relationships" name="Exploratory_16" sheetId="6" r:id="R69b73c50025d4d50"/>
    <x:sheet xmlns:r="http://schemas.openxmlformats.org/officeDocument/2006/relationships" name="Evidence_16" sheetId="7" r:id="Rd423f628674e4e89"/>
    <x:sheet xmlns:r="http://schemas.openxmlformats.org/officeDocument/2006/relationships" name="Input_Manifest" sheetId="8" r:id="R5c6dbd04137b4495"/>
    <x:sheet xmlns:r="http://schemas.openxmlformats.org/officeDocument/2006/relationships" name="QC" sheetId="9" r:id="Rdaa2ba6fc32d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0"/>
  </x:numFmts>
  <x:fonts count="14">
    <x:font>
      <x:sz val="11"/>
      <x:name val="Carlito"/>
    </x:font>
    <x:font>
      <x:sz val="10"/>
      <x:color rgb="FF000000"/>
      <x:name val="Aptos"/>
    </x:font>
    <x:font>
      <x:b/>
      <x:sz val="16"/>
      <x:color rgb="FFFFFFFF"/>
      <x:name val="Aptos Display"/>
    </x:font>
    <x:font>
      <x:i/>
      <x:sz val="10"/>
      <x:color rgb="FF595959"/>
      <x:name val="Aptos"/>
    </x:font>
    <x:font>
      <x:sz val="9"/>
      <x:color rgb="FF000000"/>
      <x:name val="Aptos"/>
    </x:font>
    <x:font>
      <x:b/>
      <x:sz val="9"/>
      <x:color rgb="FF17365D"/>
      <x:name val="Aptos"/>
    </x:font>
    <x:font>
      <x:b/>
      <x:sz val="10"/>
      <x:color rgb="FFFFFFFF"/>
      <x:name val="Aptos"/>
    </x:font>
    <x:font>
      <x:b/>
      <x:sz val="9"/>
      <x:color rgb="FF000000"/>
      <x:name val="Aptos"/>
    </x:font>
    <x:font>
      <x:b/>
      <x:sz val="18"/>
      <x:color rgb="FFFFFFFF"/>
      <x:name val="Aptos Display"/>
    </x:font>
    <x:font>
      <x:i/>
      <x:sz val="11"/>
      <x:color rgb="FF595959"/>
      <x:name val="Aptos"/>
    </x:font>
    <x:font>
      <x:b/>
      <x:sz val="11"/>
      <x:color rgb="FFFFFFFF"/>
      <x:name val="Aptos Display"/>
    </x:font>
    <x:font>
      <x:b/>
      <x:sz val="10"/>
      <x:color rgb="FF17365D"/>
      <x:name val="Aptos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</x:fills>
  <x:borders count="16">
    <x:border/>
    <x:border>
      <x:left style="thin">
        <x:color rgb="FFE7E6E6"/>
      </x:left>
      <x:top style="thin">
        <x:color rgb="FFE7E6E6"/>
      </x:top>
    </x:border>
    <x:border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bottom style="thin">
        <x:color rgb="FFE7E6E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9" xfId="0" applyNumberFormat="1" applyFont="1" applyFill="1" applyBorder="1" applyAlignment="1">
      <x:alignment vertical="center"/>
    </x:xf>
    <x:xf numFmtId="0" fontId="6" fillId="7" borderId="10" xfId="0" applyNumberFormat="1" applyFont="1" applyFill="1" applyBorder="1" applyAlignment="1">
      <x:alignment vertical="center"/>
    </x:xf>
    <x:xf numFmtId="0" fontId="6" fillId="7" borderId="11" xfId="0" applyNumberFormat="1" applyFont="1" applyFill="1" applyBorder="1" applyAlignment="1">
      <x:alignment vertical="center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1" fillId="2" borderId="14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/>
    <x:xf numFmtId="0" fontId="1" fillId="2" borderId="15" xfId="0" applyNumberFormat="1" applyFont="1" applyFill="1" applyBorder="1"/>
    <x:xf numFmtId="0" fontId="1" fillId="2" borderId="2" xfId="0" applyNumberFormat="1" applyFont="1" applyFill="1" applyBorder="1"/>
    <x:xf numFmtId="0" fontId="1" fillId="2" borderId="7" xfId="0" applyNumberFormat="1" applyFont="1" applyFill="1" applyBorder="1" applyAlignment="1">
      <x:alignment vertical="top"/>
    </x:xf>
    <x:xf numFmtId="0" fontId="1" fillId="2" borderId="15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top"/>
    </x:xf>
    <x:xf numFmtId="0" fontId="11" fillId="2" borderId="7" xfId="0" applyNumberFormat="1" applyFont="1" applyFill="1" applyBorder="1" applyAlignment="1">
      <x:alignment vertical="top"/>
    </x:xf>
    <x:xf numFmtId="0" fontId="11" fillId="2" borderId="15" xfId="0" applyNumberFormat="1" applyFont="1" applyFill="1" applyBorder="1" applyAlignment="1">
      <x:alignment vertical="top"/>
    </x:xf>
    <x:xf numFmtId="0" fontId="11" fillId="2" borderId="2" xfId="0" applyNumberFormat="1" applyFont="1" applyFill="1" applyBorder="1" applyAlignment="1">
      <x:alignment vertical="top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15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" fillId="2" borderId="7" xfId="0" applyNumberFormat="1" applyFont="1" applyFill="1" applyBorder="1" applyAlignment="1">
      <x:alignment wrapText="1"/>
    </x:xf>
    <x:xf numFmtId="0" fontId="1" fillId="2" borderId="15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3" fillId="4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200" fontId="1" fillId="2" borderId="7" xfId="0" applyNumberFormat="1" applyFont="1" applyFill="1" applyBorder="1" applyAlignment="1">
      <x:alignment vertical="top"/>
    </x:xf>
    <x:xf numFmtId="200" fontId="1" fillId="2" borderId="15" xfId="0" applyNumberFormat="1" applyFont="1" applyFill="1" applyBorder="1" applyAlignment="1">
      <x:alignment vertical="top"/>
    </x:xf>
    <x:xf numFmtId="200" fontId="1" fillId="2" borderId="2" xfId="0" applyNumberFormat="1" applyFont="1" applyFill="1" applyBorder="1" applyAlignment="1">
      <x:alignment vertical="top"/>
    </x:xf>
    <x:xf numFmtId="0" fontId="11" fillId="2" borderId="7" xfId="0" applyNumberFormat="1" applyFont="1" applyFill="1" applyBorder="1" applyAlignment="1">
      <x:alignment vertical="top" wrapText="1"/>
    </x:xf>
    <x:xf numFmtId="0" fontId="11" fillId="2" borderId="15" xfId="0" applyNumberFormat="1" applyFont="1" applyFill="1" applyBorder="1" applyAlignment="1">
      <x:alignment vertical="top" wrapText="1"/>
    </x:xf>
    <x:xf numFmtId="0" fontId="11" fillId="2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7" borderId="0" xfId="0" applyNumberFormat="1" applyFont="1" applyFill="1" applyBorder="1" applyAlignment="1">
      <x:alignment vertical="top"/>
    </x:xf>
    <x:xf numFmtId="0" fontId="6" fillId="7" borderId="0" xfId="0" applyNumberFormat="1" applyFont="1" applyFill="1" applyBorder="1" applyAlignment="1">
      <x:alignment vertical="top"/>
    </x:xf>
    <x:xf numFmtId="0" fontId="6" fillId="7" borderId="9" xfId="0" applyNumberFormat="1" applyFont="1" applyFill="1" applyBorder="1" applyAlignment="1">
      <x:alignment vertical="top"/>
    </x:xf>
    <x:xf numFmtId="0" fontId="6" fillId="7" borderId="10" xfId="0" applyNumberFormat="1" applyFont="1" applyFill="1" applyBorder="1" applyAlignment="1">
      <x:alignment vertical="top"/>
    </x:xf>
    <x:xf numFmtId="0" fontId="6" fillId="7" borderId="11" xfId="0" applyNumberFormat="1" applyFont="1" applyFill="1" applyBorder="1" applyAlignment="1">
      <x:alignment vertical="top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/>
    </x:xf>
    <x:xf numFmtId="0" fontId="1" fillId="2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3" xfId="0" applyNumberFormat="1" applyFont="1" applyFill="1" applyBorder="1" applyAlignment="1">
      <x:alignment vertical="top"/>
    </x:xf>
    <x:xf numFmtId="0" fontId="1" fillId="2" borderId="1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4" xfId="0" applyNumberFormat="1" applyFont="1" applyFill="1" applyBorder="1" applyAlignment="1">
      <x:alignment vertical="top"/>
    </x:xf>
    <x:xf numFmtId="0" fontId="1" fillId="2" borderId="1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2" xfId="0" applyNumberFormat="1" applyFont="1" applyFill="1" applyBorder="1" applyAlignment="1">
      <x:alignment vertical="top" wrapText="0"/>
    </x:xf>
    <x:xf numFmtId="0" fontId="1" fillId="2" borderId="12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3" xfId="0" applyNumberFormat="1" applyFont="1" applyFill="1" applyBorder="1" applyAlignment="1">
      <x:alignment vertical="top" wrapText="0"/>
    </x:xf>
    <x:xf numFmtId="0" fontId="1" fillId="2" borderId="13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4" xfId="0" applyNumberFormat="1" applyFont="1" applyFill="1" applyBorder="1" applyAlignment="1">
      <x:alignment vertical="top" wrapText="0"/>
    </x:xf>
    <x:xf numFmtId="0" fontId="1" fillId="2" borderId="14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12" xfId="0" applyNumberFormat="1" applyFont="1" applyFill="1" applyBorder="1" applyAlignment="1">
      <x:alignment vertical="top" wrapText="0"/>
    </x:xf>
    <x:xf numFmtId="200" fontId="1" fillId="2" borderId="13" xfId="0" applyNumberFormat="1" applyFont="1" applyFill="1" applyBorder="1" applyAlignment="1">
      <x:alignment vertical="top" wrapText="0"/>
    </x:xf>
    <x:xf numFmtId="200" fontId="1" fillId="2" borderId="14" xfId="0" applyNumberFormat="1" applyFont="1" applyFill="1" applyBorder="1" applyAlignment="1">
      <x:alignment vertical="top" wrapText="0"/>
    </x:xf>
    <x:xf numFmtId="201" fontId="1" fillId="2" borderId="12" xfId="0" applyNumberFormat="1" applyFont="1" applyFill="1" applyBorder="1" applyAlignment="1">
      <x:alignment vertical="top" wrapText="0"/>
    </x:xf>
    <x:xf numFmtId="201" fontId="1" fillId="2" borderId="13" xfId="0" applyNumberFormat="1" applyFont="1" applyFill="1" applyBorder="1" applyAlignment="1">
      <x:alignment vertical="top" wrapText="0"/>
    </x:xf>
    <x:xf numFmtId="201" fontId="1" fillId="2" borderId="14" xfId="0" applyNumberFormat="1" applyFont="1" applyFill="1" applyBorder="1" applyAlignment="1">
      <x:alignment vertical="top" wrapText="0"/>
    </x:xf>
    <x:xf numFmtId="202" fontId="1" fillId="2" borderId="12" xfId="0" applyNumberFormat="1" applyFont="1" applyFill="1" applyBorder="1" applyAlignment="1">
      <x:alignment vertical="top" wrapText="0"/>
    </x:xf>
    <x:xf numFmtId="202" fontId="1" fillId="2" borderId="13" xfId="0" applyNumberFormat="1" applyFont="1" applyFill="1" applyBorder="1" applyAlignment="1">
      <x:alignment vertical="top" wrapText="0"/>
    </x:xf>
    <x:xf numFmtId="202" fontId="1" fillId="2" borderId="14" xfId="0" applyNumberFormat="1" applyFont="1" applyFill="1" applyBorder="1" applyAlignment="1">
      <x:alignment vertical="top" wrapText="0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7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a650919b64023" /><Relationship Type="http://schemas.openxmlformats.org/officeDocument/2006/relationships/theme" Target="/xl/theme/theme1.xml" Id="Ra5ae1723c4e6406b" /><Relationship Type="http://schemas.microsoft.com/office/2022/11/relationships/FeaturePropertyBag" Target="/xl/featurePropertyBag/featurePropertyBag.xml" Id="Re872e76876b34df0" /><Relationship Type="http://schemas.openxmlformats.org/officeDocument/2006/relationships/sharedStrings" Target="/xl/sharedStrings.xml" Id="Rf2dc500b5b0c46ec" /><Relationship Type="http://schemas.openxmlformats.org/officeDocument/2006/relationships/worksheet" Target="/xl/worksheets/sheet1.xml" Id="Rd7083399fdff44f2" /><Relationship Type="http://schemas.openxmlformats.org/officeDocument/2006/relationships/worksheet" Target="/xl/worksheets/sheet2.xml" Id="Rb1652f8e458b495b" /><Relationship Type="http://schemas.openxmlformats.org/officeDocument/2006/relationships/worksheet" Target="/xl/worksheets/sheet3.xml" Id="Rc29b5350bd7a4266" /><Relationship Type="http://schemas.openxmlformats.org/officeDocument/2006/relationships/worksheet" Target="/xl/worksheets/sheet4.xml" Id="R17872e1a15c94262" /><Relationship Type="http://schemas.openxmlformats.org/officeDocument/2006/relationships/worksheet" Target="/xl/worksheets/sheet5.xml" Id="Re5231927a71940de" /><Relationship Type="http://schemas.openxmlformats.org/officeDocument/2006/relationships/worksheet" Target="/xl/worksheets/sheet6.xml" Id="R69b73c50025d4d50" /><Relationship Type="http://schemas.openxmlformats.org/officeDocument/2006/relationships/worksheet" Target="/xl/worksheets/sheet7.xml" Id="Rd423f628674e4e89" /><Relationship Type="http://schemas.openxmlformats.org/officeDocument/2006/relationships/worksheet" Target="/xl/worksheets/sheet8.xml" Id="R5c6dbd04137b4495" /><Relationship Type="http://schemas.openxmlformats.org/officeDocument/2006/relationships/worksheet" Target="/xl/worksheets/sheet9.xml" Id="Rdaa2ba6fc32d42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rict_1_Audit" displayName="Strict_1_Audit" ref="A5:G33" headerRowCount="1" totalsRowCount="0" totalsRowShown="0">
  <x:autoFilter ref="A5:G33"/>
  <x:tableColumns count="7">
    <x:tableColumn id="1" name="Drug_Gene"/>
    <x:tableColumn id="2" name="In_Disease_Set"/>
    <x:tableColumn id="3" name="Formula_Intersection_Gene"/>
    <x:tableColumn id="4" name="Disease_Gene"/>
    <x:tableColumn id="5" name="Verified_Intersection_Gene"/>
    <x:tableColumn id="6" name="Verified_Gene_In_Formula_Result"/>
    <x:tableColumn id="7" name="Row_QC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rimary_2_Audit" displayName="Primary_2_Audit" ref="A5:G86" headerRowCount="1" totalsRowCount="0" totalsRowShown="0">
  <x:autoFilter ref="A5:G86"/>
  <x:tableColumns count="7">
    <x:tableColumn id="1" name="Drug_Gene"/>
    <x:tableColumn id="2" name="In_Disease_Set"/>
    <x:tableColumn id="3" name="Formula_Intersection_Gene"/>
    <x:tableColumn id="4" name="Disease_Gene"/>
    <x:tableColumn id="5" name="Verified_Intersection_Gene"/>
    <x:tableColumn id="6" name="Verified_Gene_In_Formula_Result"/>
    <x:tableColumn id="7" name="Row_QC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Medium_6_Audit" displayName="Medium_6_Audit" ref="A5:G181" headerRowCount="1" totalsRowCount="0" totalsRowShown="0">
  <x:autoFilter ref="A5:G181"/>
  <x:tableColumns count="7">
    <x:tableColumn id="1" name="Drug_Gene"/>
    <x:tableColumn id="2" name="In_Disease_Set"/>
    <x:tableColumn id="3" name="Formula_Intersection_Gene"/>
    <x:tableColumn id="4" name="Disease_Gene"/>
    <x:tableColumn id="5" name="Verified_Intersection_Gene"/>
    <x:tableColumn id="6" name="Verified_Gene_In_Formula_Result"/>
    <x:tableColumn id="7" name="Row_QC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Exploratory_16_Audit" displayName="Exploratory_16_Audit" ref="A5:G176" headerRowCount="1" totalsRowCount="0" totalsRowShown="0">
  <x:autoFilter ref="A5:G176"/>
  <x:tableColumns count="7">
    <x:tableColumn id="1" name="Drug_Gene"/>
    <x:tableColumn id="2" name="In_Disease_Set"/>
    <x:tableColumn id="3" name="Formula_Intersection_Gene"/>
    <x:tableColumn id="4" name="Disease_Gene"/>
    <x:tableColumn id="5" name="Verified_Intersection_Gene"/>
    <x:tableColumn id="6" name="Verified_Gene_In_Formula_Result"/>
    <x:tableColumn id="7" name="Row_QC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Intersection_Evidence_16" displayName="Intersection_Evidence_16" ref="A1:BW17" headerRowCount="1" totalsRowCount="0" totalsRowShown="0">
  <x:autoFilter ref="A1:BW17"/>
  <x:tableColumns count="75">
    <x:tableColumn id="1" name="Gene_Symbol"/>
    <x:tableColumn id="2" name="UniProt_Accessions"/>
    <x:tableColumn id="3" name="Drug_Target_Names"/>
    <x:tableColumn id="4" name="Disease_Gene_Name"/>
    <x:tableColumn id="5" name="Entrez_Gene_ID"/>
    <x:tableColumn id="6" name="Ensembl_Gene_ID"/>
    <x:tableColumn id="7" name="ID_Completeness_Flag"/>
    <x:tableColumn id="8" name="First_Entry_Level"/>
    <x:tableColumn id="9" name="Analysis_Role"/>
    <x:tableColumn id="10" name="Core_Anchor"/>
    <x:tableColumn id="11" name="In_L1_Strict_1"/>
    <x:tableColumn id="12" name="In_L2_Primary_2"/>
    <x:tableColumn id="13" name="In_L3_Medium_6"/>
    <x:tableColumn id="14" name="In_L4_Exploratory_16"/>
    <x:tableColumn id="15" name="Drug_Evidence_Tier"/>
    <x:tableColumn id="16" name="Drug_Source_Databases"/>
    <x:tableColumn id="17" name="Drug_Source_Count"/>
    <x:tableColumn id="18" name="Drug_Source_Databases_Excluding_COMET"/>
    <x:tableColumn id="19" name="Drug_Source_Count_Excluding_COMET"/>
    <x:tableColumn id="20" name="Drug_CrossSupport_Excluding_COMET"/>
    <x:tableColumn id="21" name="Drug_In_Strict_25"/>
    <x:tableColumn id="22" name="Drug_In_CrossPriority_22"/>
    <x:tableColumn id="23" name="Drug_In_Recommended_42"/>
    <x:tableColumn id="24" name="Drug_In_Extended_171"/>
    <x:tableColumn id="25" name="SwissTargetPrediction"/>
    <x:tableColumn id="26" name="SuperPred"/>
    <x:tableColumn id="27" name="PharmMapper"/>
    <x:tableColumn id="28" name="PPB3"/>
    <x:tableColumn id="29" name="COMET"/>
    <x:tableColumn id="30" name="PASSTargets"/>
    <x:tableColumn id="31" name="NetInfer"/>
    <x:tableColumn id="32" name="Swiss_Probability"/>
    <x:tableColumn id="33" name="SuperPred_Probability"/>
    <x:tableColumn id="34" name="SuperPred_Model_Accuracy"/>
    <x:tableColumn id="35" name="PharmMapper_Best_Norm_Fit"/>
    <x:tableColumn id="36" name="PharmMapper_Max_zscore"/>
    <x:tableColumn id="37" name="PPB3_Confidence_Score"/>
    <x:tableColumn id="38" name="COMET_Probability"/>
    <x:tableColumn id="39" name="PASSTargets_Max_Activity_Score"/>
    <x:tableColumn id="40" name="NetInfer_Score"/>
    <x:tableColumn id="41" name="NetInfer_Rank"/>
    <x:tableColumn id="42" name="Drug_Inclusion_Reason"/>
    <x:tableColumn id="43" name="Drug_Interpretation_Note"/>
    <x:tableColumn id="44" name="Disease_Evidence_Tier"/>
    <x:tableColumn id="45" name="AIS_In_Strict_28"/>
    <x:tableColumn id="46" name="AIS_In_Primary_81"/>
    <x:tableColumn id="47" name="AIS_In_MediumExtended_176"/>
    <x:tableColumn id="48" name="AIS_In_BroadSensitivity_430"/>
    <x:tableColumn id="49" name="Disease_Primary_Source_Databases"/>
    <x:tableColumn id="50" name="Disease_Primary_Source_Count"/>
    <x:tableColumn id="51" name="Disease_Medium_Source_Databases"/>
    <x:tableColumn id="52" name="Disease_Medium_Source_Count"/>
    <x:tableColumn id="53" name="Disease_Broad_Source_Databases"/>
    <x:tableColumn id="54" name="Disease_Broad_Source_Count"/>
    <x:tableColumn id="55" name="GeneCards_Strict_ge5"/>
    <x:tableColumn id="56" name="GeneCards_Main_ge3"/>
    <x:tableColumn id="57" name="GeneCards_Broad_ge0.9"/>
    <x:tableColumn id="58" name="OMIM_UltraStrict"/>
    <x:tableColumn id="59" name="OMIM_Primary"/>
    <x:tableColumn id="60" name="OMIM_PrimaryPlusExtended"/>
    <x:tableColumn id="61" name="DisGeNET_Primary_raw_ge0.30"/>
    <x:tableColumn id="62" name="DisGeNET_Conservative_EI_ge0.80"/>
    <x:tableColumn id="63" name="DisGeNET_HumanLiterature"/>
    <x:tableColumn id="64" name="GeneCards_Relevance_Score"/>
    <x:tableColumn id="65" name="GeneCards_Knowledge_Score"/>
    <x:tableColumn id="66" name="OMIM_Gene_MIM_ID"/>
    <x:tableColumn id="67" name="OMIM_Phenotype_MIM_IDs"/>
    <x:tableColumn id="68" name="OMIM_Evidence_Layers"/>
    <x:tableColumn id="69" name="OMIM_Mechanism_Tags"/>
    <x:tableColumn id="70" name="DisGeNET_Raw_GDA_Score"/>
    <x:tableColumn id="71" name="DisGeNET_EI"/>
    <x:tableColumn id="72" name="DisGeNET_N_PMIDs"/>
    <x:tableColumn id="73" name="AIS_Interpretation_Note"/>
    <x:tableColumn id="74" name="Evidence_Summary"/>
    <x:tableColumn id="75" name="Interpretation_Note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Intersection_Input_Manifest" displayName="Intersection_Input_Manifest" ref="A1:M10" headerRowCount="1" totalsRowCount="0" totalsRowShown="0">
  <x:autoFilter ref="A1:M10"/>
  <x:tableColumns count="13">
    <x:tableColumn id="1" name="Input_Key"/>
    <x:tableColumn id="2" name="Input_Type"/>
    <x:tableColumn id="3" name="Set_Label"/>
    <x:tableColumn id="4" name="Role"/>
    <x:tableColumn id="5" name="Source_Path"/>
    <x:tableColumn id="6" name="Frozen_File"/>
    <x:tableColumn id="7" name="Expected_Count"/>
    <x:tableColumn id="8" name="Observed_Count"/>
    <x:tableColumn id="9" name="Source_SHA256"/>
    <x:tableColumn id="10" name="Frozen_SHA256"/>
    <x:tableColumn id="11" name="Hash_Match"/>
    <x:tableColumn id="12" name="Processing_Date"/>
    <x:tableColumn id="13" name="Retrieval_Date_Note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Intersection_QC" displayName="Intersection_QC" ref="A1:F40" headerRowCount="1" totalsRowCount="0" totalsRowShown="0">
  <x:autoFilter ref="A1:F40"/>
  <x:tableColumns count="6">
    <x:tableColumn id="1" name="Check_ID"/>
    <x:tableColumn id="2" name="Check"/>
    <x:tableColumn id="3" name="Expected"/>
    <x:tableColumn id="4" name="Observed"/>
    <x:tableColumn id="5" name="Status"/>
    <x:tableColumn id="6" name="Detail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e9b9eefe10a4f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7bdd09972724c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3ae842a011341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c88645ce80747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eca41792d534a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98cc1a7278046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64c710d3b734d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70" hidden="0" customWidth="1"/>
    <x:col min="3" max="3" width="23" hidden="0" customWidth="1"/>
    <x:col min="4" max="4" width="55" hidden="0" customWidth="1"/>
    <x:col min="5" max="5" width="25" hidden="0" customWidth="1"/>
    <x:col min="6" max="6" width="40" hidden="0" customWidth="1"/>
    <x:col min="7" max="7" width="12" hidden="0" customWidth="1"/>
    <x:col min="8" max="8" width="12" hidden="0" customWidth="1"/>
  </x:cols>
  <x:sheetData>
    <x:row r="1" ht="34" customHeight="1">
      <x:c r="A1" s="55" t="str">
        <x:v>白果内酯–急性缺血性卒中：分层交集分析（第1—4步）</x:v>
      </x:c>
      <x:c r="B1" s="55"/>
      <x:c r="C1" s="55"/>
      <x:c r="D1" s="55"/>
      <x:c r="E1" s="55"/>
      <x:c r="F1" s="55"/>
      <x:c r="G1" s="55"/>
      <x:c r="H1" s="55"/>
    </x:row>
    <x:row r="2" ht="25" customHeight="1">
      <x:c r="A2" s="58" t="str">
        <x:v>输入冻结 → 四层交集 → CSV/TXT导出 → 16基因证据追踪；未执行Venny、STRING、Cytoscape或cytoHubba</x:v>
      </x:c>
      <x:c r="B2" s="58"/>
      <x:c r="C2" s="58"/>
      <x:c r="D2" s="58"/>
      <x:c r="E2" s="58"/>
      <x:c r="F2" s="58"/>
      <x:c r="G2" s="58"/>
      <x:c r="H2" s="58"/>
    </x:row>
    <x:row r="4" ht="24" customHeight="1">
      <x:c r="A4" s="61" t="str">
        <x:v>项目与版本信息</x:v>
      </x:c>
      <x:c r="B4" s="61"/>
      <x:c r="C4" s="61"/>
      <x:c r="D4" s="61"/>
      <x:c r="E4" s="61"/>
      <x:c r="F4" s="61"/>
      <x:c r="G4" s="61"/>
      <x:c r="H4" s="61"/>
    </x:row>
    <x:row r="5">
      <x:c r="A5" s="68" t="str">
        <x:v>研究对象</x:v>
      </x:c>
      <x:c r="B5" s="71" t="str">
        <x:v>Bilobalide（白果内酯）</x:v>
      </x:c>
      <x:c r="C5" s="68" t="str">
        <x:v>疾病</x:v>
      </x:c>
      <x:c r="D5" s="71" t="str">
        <x:v>Acute ischemic stroke（AIS）</x:v>
      </x:c>
    </x:row>
    <x:row r="6">
      <x:c r="A6" s="69" t="str">
        <x:v>处理日期</x:v>
      </x:c>
      <x:c r="B6" s="72" t="str">
        <x:v>2026-07-14</x:v>
      </x:c>
      <x:c r="C6" s="69" t="str">
        <x:v>输入版本</x:v>
      </x:c>
      <x:c r="D6" s="72" t="str">
        <x:v>3_Bilobalide 与 3_AIS 已冻结分层集合</x:v>
      </x:c>
    </x:row>
    <x:row r="7">
      <x:c r="A7" s="69" t="str">
        <x:v>检索日期说明</x:v>
      </x:c>
      <x:c r="B7" s="72" t="str">
        <x:v>上游项目记录始于2026-07-11，补充数据截至2026-07-14；本步骤未重新检索数据库。</x:v>
      </x:c>
      <x:c r="C7" s="69" t="str">
        <x:v>交集键</x:v>
      </x:c>
      <x:c r="D7" s="72" t="str">
        <x:v>标准化人源 Gene Symbol</x:v>
      </x:c>
    </x:row>
    <x:row r="8">
      <x:c r="A8" s="70" t="str">
        <x:v>程序复算QC</x:v>
      </x:c>
      <x:c r="B8" s="73" t="str">
        <x:v>34/34 PASS</x:v>
      </x:c>
      <x:c r="C8" s="70" t="str">
        <x:v>公式审计</x:v>
      </x:c>
      <x:c r="D8" s="73" t="str">
        <x:v>各层逐行 COUNTIF 活公式 + 静态结果互证</x:v>
      </x:c>
    </x:row>
    <x:row r="10" ht="24" customHeight="1">
      <x:c r="A10" s="61" t="str">
        <x:v>预设分层定义（不可在结果后改阈值）</x:v>
      </x:c>
      <x:c r="B10" s="61"/>
      <x:c r="C10" s="61"/>
      <x:c r="D10" s="61"/>
      <x:c r="E10" s="61"/>
      <x:c r="F10" s="61"/>
      <x:c r="G10" s="61"/>
      <x:c r="H10" s="61"/>
    </x:row>
    <x:row r="11" ht="28" customHeight="1">
      <x:c r="A11" s="75" t="str">
        <x:v>层级</x:v>
      </x:c>
      <x:c r="B11" s="75" t="str">
        <x:v>药物集合</x:v>
      </x:c>
      <x:c r="C11" s="75" t="str">
        <x:v>AIS集合</x:v>
      </x:c>
      <x:c r="D11" s="75" t="str">
        <x:v>交集</x:v>
      </x:c>
      <x:c r="E11" s="75" t="str">
        <x:v>结果</x:v>
      </x:c>
      <x:c r="F11" s="75" t="str">
        <x:v>用途</x:v>
      </x:c>
    </x:row>
    <x:row r="12" ht="24" customHeight="1">
      <x:c r="A12" s="62" t="str">
        <x:v>L1_Strict</x:v>
      </x:c>
      <x:c r="B12" s="62" t="str">
        <x:v>Strict_25</x:v>
      </x:c>
      <x:c r="C12" s="62" t="str">
        <x:v>Strict_28</x:v>
      </x:c>
      <x:c r="D12" s="62" t="str">
        <x:v>25 ∩ 28</x:v>
      </x:c>
      <x:c r="E12" s="62" t="str">
        <x:v>1：NFKB1</x:v>
      </x:c>
      <x:c r="F12" s="76" t="str">
        <x:v>最高特异性敏感性分析</x:v>
      </x:c>
    </x:row>
    <x:row r="13" ht="24" customHeight="1">
      <x:c r="A13" s="63" t="str">
        <x:v>L2_Primary</x:v>
      </x:c>
      <x:c r="B13" s="63" t="str">
        <x:v>Recommended_42</x:v>
      </x:c>
      <x:c r="C13" s="63" t="str">
        <x:v>Primary_81</x:v>
      </x:c>
      <x:c r="D13" s="63" t="str">
        <x:v>42 ∩ 81</x:v>
      </x:c>
      <x:c r="E13" s="63" t="str">
        <x:v>2：HIF1A; NFKB1</x:v>
      </x:c>
      <x:c r="F13" s="77" t="str">
        <x:v>预设主分析；主分析锚定靶点</x:v>
      </x:c>
    </x:row>
    <x:row r="14" ht="24" customHeight="1">
      <x:c r="A14" s="63" t="str">
        <x:v>L3_MediumExtended</x:v>
      </x:c>
      <x:c r="B14" s="63" t="str">
        <x:v>Extended_171</x:v>
      </x:c>
      <x:c r="C14" s="63" t="str">
        <x:v>MediumExtended_176</x:v>
      </x:c>
      <x:c r="D14" s="63" t="str">
        <x:v>171 ∩ 176</x:v>
      </x:c>
      <x:c r="E14" s="63" t="str">
        <x:v>6个</x:v>
      </x:c>
      <x:c r="F14" s="77" t="str">
        <x:v>中等扩展敏感性；后续PPI候选</x:v>
      </x:c>
    </x:row>
    <x:row r="15" ht="24" customHeight="1">
      <x:c r="A15" s="64" t="str">
        <x:v>L4_BroadExploratory</x:v>
      </x:c>
      <x:c r="B15" s="64" t="str">
        <x:v>Extended_171</x:v>
      </x:c>
      <x:c r="C15" s="64" t="str">
        <x:v>BroadSensitivity_430</x:v>
      </x:c>
      <x:c r="D15" s="64" t="str">
        <x:v>171 ∩ 430</x:v>
      </x:c>
      <x:c r="E15" s="64" t="str">
        <x:v>16个</x:v>
      </x:c>
      <x:c r="F15" s="78" t="str">
        <x:v>仅宽口径探索性敏感性</x:v>
      </x:c>
    </x:row>
    <x:row r="17" ht="24" customHeight="1">
      <x:c r="A17" s="61" t="str">
        <x:v>解释边界</x:v>
      </x:c>
      <x:c r="B17" s="61"/>
      <x:c r="C17" s="61"/>
      <x:c r="D17" s="61"/>
      <x:c r="E17" s="61"/>
      <x:c r="F17" s="61"/>
      <x:c r="G17" s="61"/>
      <x:c r="H17" s="61"/>
    </x:row>
    <x:row r="18" ht="30" customHeight="1">
      <x:c r="A18" s="71" t="str">
        <x:v>1</x:v>
      </x:c>
      <x:c r="B18" s="71" t="str">
        <x:v>Core_Anchor=True 仅表示属于L2主分析交集（HIF1A、NFKB1），不是实验、因果或临床验证。</x:v>
      </x:c>
    </x:row>
    <x:row r="19" ht="30" customHeight="1">
      <x:c r="A19" s="72" t="str">
        <x:v>2</x:v>
      </x:c>
      <x:c r="B19" s="72" t="str">
        <x:v>L3的6基因可作为后续PPI输入候选；L4的16基因只用于探索/敏感性分析，不得统称最终核心靶点。</x:v>
      </x:c>
    </x:row>
    <x:row r="20" ht="30" customHeight="1">
      <x:c r="A20" s="72" t="str">
        <x:v>3</x:v>
      </x:c>
      <x:c r="B20" s="72" t="str">
        <x:v>在完成STRING网络与cytoHubba排序前，任何交集基因均不能称为Hub基因。</x:v>
      </x:c>
    </x:row>
    <x:row r="21" ht="30" customHeight="1">
      <x:c r="A21" s="72" t="str">
        <x:v>4</x:v>
      </x:c>
      <x:c r="B21" s="72" t="str">
        <x:v>公式审计用于独立核对程序结果；CSV/TXT中的静态结果为本次冻结输出。</x:v>
      </x:c>
    </x:row>
    <x:row r="22" ht="30" customHeight="1">
      <x:c r="A22" s="73" t="str">
        <x:v>5</x:v>
      </x:c>
      <x:c r="B22" s="73" t="str">
        <x:v>缺失Entrez/Ensembl ID保留为空，不用0或未经核验的推断值替代；STRING可继续使用标准Gene Symbol。</x:v>
      </x:c>
    </x:row>
  </x:sheetData>
  <x:mergeCells>
    <x:mergeCell ref="A1:H1"/>
    <x:mergeCell ref="A2:H2"/>
    <x:mergeCell ref="A4:H4"/>
    <x:mergeCell ref="A10:H10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2" hidden="0" customWidth="1"/>
    <x:col min="3" max="3" width="38" hidden="0" customWidth="1"/>
    <x:col min="4" max="4" width="16" hidden="0" customWidth="1"/>
    <x:col min="5" max="5" width="20" hidden="0" customWidth="1"/>
    <x:col min="6" max="6" width="17" hidden="0" customWidth="1"/>
    <x:col min="7" max="7" width="14" hidden="0" customWidth="1"/>
    <x:col min="8" max="8" width="55" hidden="0" customWidth="1"/>
  </x:cols>
  <x:sheetData>
    <x:row r="1" ht="34" customHeight="1">
      <x:c r="A1" s="54" t="str">
        <x:v>白果内酯–AIS 四层交集汇总</x:v>
      </x:c>
      <x:c r="B1" s="54"/>
      <x:c r="C1" s="54"/>
      <x:c r="D1" s="54"/>
      <x:c r="E1" s="54"/>
      <x:c r="F1" s="54"/>
      <x:c r="G1" s="54"/>
      <x:c r="H1" s="54"/>
    </x:row>
    <x:row r="2" ht="25" customHeight="1">
      <x:c r="A2" s="79" t="str">
        <x:v>各层工作表B/C/F/G保留逐行活公式；本页与各层I3:I5为已验证冻结快照，避免公式缓存兼容性造成假性FAIL。</x:v>
      </x:c>
      <x:c r="B2" s="79"/>
      <x:c r="C2" s="79"/>
      <x:c r="D2" s="79"/>
      <x:c r="E2" s="79"/>
      <x:c r="F2" s="79"/>
      <x:c r="G2" s="79"/>
      <x:c r="H2" s="79"/>
    </x:row>
    <x:row r="4" ht="31" customHeight="1">
      <x:c r="A4" s="80" t="str">
        <x:v>Layer</x:v>
      </x:c>
      <x:c r="B4" s="80" t="str">
        <x:v>Drug_Input</x:v>
      </x:c>
      <x:c r="C4" s="80" t="str">
        <x:v>AIS_Input</x:v>
      </x:c>
      <x:c r="D4" s="80" t="str">
        <x:v>Expected_Count</x:v>
      </x:c>
      <x:c r="E4" s="80" t="str">
        <x:v>Local_Formula_Audit_Snapshot</x:v>
      </x:c>
      <x:c r="F4" s="80" t="str">
        <x:v>Verified_Count</x:v>
      </x:c>
      <x:c r="G4" s="80" t="str">
        <x:v>QC_Status</x:v>
      </x:c>
      <x:c r="H4" s="80" t="str">
        <x:v>Recommended_Use</x:v>
      </x:c>
    </x:row>
    <x:row r="5" ht="30" customHeight="1">
      <x:c r="A5" s="65" t="str">
        <x:v>L1_Strict</x:v>
      </x:c>
      <x:c r="B5" s="71" t="str">
        <x:v>Bilobalide Strict_25 (n=25)</x:v>
      </x:c>
      <x:c r="C5" s="71" t="str">
        <x:v>AIS Strict_28 (n=28)</x:v>
      </x:c>
      <x:c r="D5" s="81" t="n">
        <x:v>1</x:v>
      </x:c>
      <x:c r="E5" s="81" t="n">
        <x:v>1</x:v>
      </x:c>
      <x:c r="F5" s="81" t="n">
        <x:v>1</x:v>
      </x:c>
      <x:c r="G5" s="65" t="str">
        <x:v>PASS</x:v>
      </x:c>
      <x:c r="H5" s="71" t="str">
        <x:v>最高特异性敏感性分析；NFKB1为最高置信度重叠靶点。</x:v>
      </x:c>
    </x:row>
    <x:row r="6" ht="30" customHeight="1">
      <x:c r="A6" s="66" t="str">
        <x:v>L2_Primary</x:v>
      </x:c>
      <x:c r="B6" s="72" t="str">
        <x:v>Bilobalide Recommended_42 (n=42)</x:v>
      </x:c>
      <x:c r="C6" s="72" t="str">
        <x:v>AIS Primary_81 (n=81)</x:v>
      </x:c>
      <x:c r="D6" s="82" t="n">
        <x:v>2</x:v>
      </x:c>
      <x:c r="E6" s="82" t="n">
        <x:v>2</x:v>
      </x:c>
      <x:c r="F6" s="82" t="n">
        <x:v>2</x:v>
      </x:c>
      <x:c r="G6" s="66" t="str">
        <x:v>PASS</x:v>
      </x:c>
      <x:c r="H6" s="72" t="str">
        <x:v>预设主分析交集；HIF1A与NFKB1定义为主分析锚定靶点。</x:v>
      </x:c>
    </x:row>
    <x:row r="7" ht="30" customHeight="1">
      <x:c r="A7" s="66" t="str">
        <x:v>L3_MediumExtended</x:v>
      </x:c>
      <x:c r="B7" s="72" t="str">
        <x:v>Bilobalide Extended_171 (n=171)</x:v>
      </x:c>
      <x:c r="C7" s="72" t="str">
        <x:v>AIS MediumExtended_176 (n=176)</x:v>
      </x:c>
      <x:c r="D7" s="82" t="n">
        <x:v>6</x:v>
      </x:c>
      <x:c r="E7" s="82" t="n">
        <x:v>6</x:v>
      </x:c>
      <x:c r="F7" s="82" t="n">
        <x:v>6</x:v>
      </x:c>
      <x:c r="G7" s="66" t="str">
        <x:v>PASS</x:v>
      </x:c>
      <x:c r="H7" s="72" t="str">
        <x:v>中等扩展敏感性分析；可作为后续PPI输入候选，但不是Hub基因。</x:v>
      </x:c>
    </x:row>
    <x:row r="8" ht="30" customHeight="1">
      <x:c r="A8" s="67" t="str">
        <x:v>L4_BroadExploratory</x:v>
      </x:c>
      <x:c r="B8" s="73" t="str">
        <x:v>Bilobalide Extended_171 (n=171)</x:v>
      </x:c>
      <x:c r="C8" s="73" t="str">
        <x:v>AIS BroadSensitivity_430 (n=430)</x:v>
      </x:c>
      <x:c r="D8" s="83" t="n">
        <x:v>16</x:v>
      </x:c>
      <x:c r="E8" s="83" t="n">
        <x:v>16</x:v>
      </x:c>
      <x:c r="F8" s="83" t="n">
        <x:v>16</x:v>
      </x:c>
      <x:c r="G8" s="67" t="str">
        <x:v>PASS</x:v>
      </x:c>
      <x:c r="H8" s="73" t="str">
        <x:v>宽口径探索性敏感性分析；不得称为最终核心靶点。</x:v>
      </x:c>
    </x:row>
    <x:row r="11" ht="24" customHeight="1">
      <x:c r="A11" s="61" t="str">
        <x:v>静态交集基因（按字母排序）</x:v>
      </x:c>
      <x:c r="B11" s="61"/>
      <x:c r="C11" s="61"/>
      <x:c r="D11" s="61"/>
      <x:c r="E11" s="61"/>
      <x:c r="F11" s="61"/>
      <x:c r="G11" s="61"/>
      <x:c r="H11" s="61"/>
    </x:row>
    <x:row r="12" ht="25" customHeight="1">
      <x:c r="A12" s="75" t="str">
        <x:v>Layer</x:v>
      </x:c>
      <x:c r="B12" s="75" t="str">
        <x:v>Gene_Symbols</x:v>
      </x:c>
    </x:row>
    <x:row r="13" ht="34" customHeight="1">
      <x:c r="A13" s="71" t="str">
        <x:v>L1_Strict</x:v>
      </x:c>
      <x:c r="B13" s="71" t="str">
        <x:v>NFKB1</x:v>
      </x:c>
    </x:row>
    <x:row r="14" ht="34" customHeight="1">
      <x:c r="A14" s="72" t="str">
        <x:v>L2_Primary</x:v>
      </x:c>
      <x:c r="B14" s="72" t="str">
        <x:v>HIF1A; NFKB1</x:v>
      </x:c>
    </x:row>
    <x:row r="15" ht="34" customHeight="1">
      <x:c r="A15" s="72" t="str">
        <x:v>L3_MediumExtended</x:v>
      </x:c>
      <x:c r="B15" s="72" t="str">
        <x:v>F2; HIF1A; NFE2L2; NFKB1; SIRT1; TNF</x:v>
      </x:c>
    </x:row>
    <x:row r="16" ht="34" customHeight="1">
      <x:c r="A16" s="73" t="str">
        <x:v>L4_BroadExploratory</x:v>
      </x:c>
      <x:c r="B16" s="73" t="str">
        <x:v>CTNNB1; F2; F2R; HIF1A; IL2; MIF; MYLK; NFE2L2; NFKB1; RELA; SIRT1; SIRT6; SLC5A2; SLCO1B1; SRC; TNF</x:v>
      </x:c>
    </x:row>
    <x:row r="19" ht="24" customHeight="1">
      <x:c r="A19" s="61" t="str">
        <x:v>后续使用边界（本次尚未执行）</x:v>
      </x:c>
      <x:c r="B19" s="61"/>
      <x:c r="C19" s="61"/>
      <x:c r="D19" s="61"/>
      <x:c r="E19" s="61"/>
      <x:c r="F19" s="61"/>
      <x:c r="G19" s="61"/>
      <x:c r="H19" s="61"/>
    </x:row>
    <x:row r="20" ht="32" customHeight="1">
      <x:c r="A20" s="84" t="str">
        <x:v>主分析结论</x:v>
      </x:c>
      <x:c r="B20" s="71" t="str">
        <x:v>L2：HIF1A、NFKB1（Core_Anchor=True，仅表示分析层级）</x:v>
      </x:c>
    </x:row>
    <x:row r="21" ht="32" customHeight="1">
      <x:c r="A21" s="85" t="str">
        <x:v>PPI候选输入</x:v>
      </x:c>
      <x:c r="B21" s="72" t="str">
        <x:v>建议预先声明L3的6基因为主要扩展输入；若使用L4的16基因，必须标注探索性敏感性分析。</x:v>
      </x:c>
    </x:row>
    <x:row r="22" ht="32" customHeight="1">
      <x:c r="A22" s="85" t="str">
        <x:v>禁止表述</x:v>
      </x:c>
      <x:c r="B22" s="72" t="str">
        <x:v>16个交集不能统称最终核心靶点；完成cytoHubba前不能称Hub基因。</x:v>
      </x:c>
    </x:row>
    <x:row r="23" ht="32" customHeight="1">
      <x:c r="A23" s="86" t="str">
        <x:v>当前状态</x:v>
      </x:c>
      <x:c r="B23" s="73" t="str">
        <x:v>Venny、STRING、Cytoscape、cytoHubba均未执行。</x:v>
      </x:c>
    </x:row>
  </x:sheetData>
  <x:mergeCells>
    <x:mergeCell ref="A1:H1"/>
    <x:mergeCell ref="A2:H2"/>
    <x:mergeCell ref="A11:H11"/>
    <x:mergeCell ref="A19:H19"/>
  </x:mergeCells>
  <x:conditionalFormatting sqref="G5:G8">
    <x:cfRule type="containsText" dxfId="24" priority="1" operator="containsText" text="PASS"/>
    <x:cfRule type="containsText" dxfId="25" priority="2" operator="containsText" text="FAI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9" hidden="0" customWidth="1"/>
    <x:col min="4" max="4" width="21" hidden="0" customWidth="1"/>
    <x:col min="5" max="5" width="28" hidden="0" customWidth="1"/>
    <x:col min="6" max="6" width="32" hidden="0" customWidth="1"/>
    <x:col min="7" max="7" width="14" hidden="0" customWidth="1"/>
    <x:col min="8" max="8" width="24" hidden="0" customWidth="1"/>
    <x:col min="9" max="9" width="16" hidden="0" customWidth="1"/>
    <x:col min="10" max="10" width="38" hidden="0" customWidth="1"/>
  </x:cols>
  <x:sheetData>
    <x:row r="1" ht="31" customHeight="1">
      <x:c r="A1" s="5" t="str">
        <x:v>L1_Strict — 公式审计与静态交集互证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7" customHeight="1">
      <x:c r="A2" s="9" t="str">
        <x:v>Bilobalide Strict_25 ∩ AIS Strict_28；最高特异性敏感性分析；NFKB1为最高置信度重叠靶点。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3" customHeight="1">
      <x:c r="A3" s="13" t="str">
        <x:v>Drug n=25</x:v>
      </x:c>
      <x:c r="B3" s="13" t="str">
        <x:v>Bilobalide Strict_25</x:v>
      </x:c>
      <x:c r="C3" s="13" t="str">
        <x:v>AIS n=28</x:v>
      </x:c>
      <x:c r="D3" s="13" t="str">
        <x:v>AIS Strict_28</x:v>
      </x:c>
      <x:c r="E3" s="13" t="str">
        <x:v>Verified n=1</x:v>
      </x:c>
      <x:c r="F3" s="13" t="str">
        <x:v>NFKB1</x:v>
      </x:c>
      <x:c r="G3" s="13" t="str">
        <x:v>程序静态结果</x:v>
      </x:c>
      <x:c r="H3" s="33" t="str">
        <x:v>Row-formula count snapshot</x:v>
      </x:c>
      <x:c r="I3" s="36" t="n">
        <x:v>1</x:v>
      </x:c>
      <x:c r="J3" s="26" t="str">
        <x:v>COUNTIF(B6:B30,TRUE)</x:v>
      </x:c>
    </x:row>
    <x:row r="4" ht="23" customHeight="1">
      <x:c r="A4" s="2"/>
      <x:c r="B4" s="2"/>
      <x:c r="C4" s="2"/>
      <x:c r="D4" s="2"/>
      <x:c r="E4" s="2"/>
      <x:c r="F4" s="2"/>
      <x:c r="G4" s="2"/>
      <x:c r="H4" s="34" t="str">
        <x:v>Static verified count</x:v>
      </x:c>
      <x:c r="I4" s="37" t="n">
        <x:v>1</x:v>
      </x:c>
      <x:c r="J4" s="29" t="str">
        <x:v>COUNTIF(E6:E33,"?*")</x:v>
      </x:c>
    </x:row>
    <x:row r="5" ht="34" customHeight="1">
      <x:c r="A5" s="44" t="str">
        <x:v>Drug_Gene</x:v>
      </x:c>
      <x:c r="B5" s="45" t="str">
        <x:v>In_Disease_Set</x:v>
      </x:c>
      <x:c r="C5" s="45" t="str">
        <x:v>Formula_Intersection_Gene</x:v>
      </x:c>
      <x:c r="D5" s="45" t="str">
        <x:v>Disease_Gene</x:v>
      </x:c>
      <x:c r="E5" s="45" t="str">
        <x:v>Verified_Intersection_Gene</x:v>
      </x:c>
      <x:c r="F5" s="45" t="str">
        <x:v>Verified_Gene_In_Formula_Result</x:v>
      </x:c>
      <x:c r="G5" s="46" t="str">
        <x:v>Row_QC</x:v>
      </x:c>
      <x:c r="H5" s="35" t="str">
        <x:v>Row audit QC snapshot</x:v>
      </x:c>
      <x:c r="I5" s="31" t="str">
        <x:v>PASS</x:v>
      </x:c>
      <x:c r="J5" s="32" t="str">
        <x:v>逐行B/C/F/G为活公式；本区为冻结快照</x:v>
      </x:c>
    </x:row>
    <x:row r="6" ht="22" customHeight="1">
      <x:c r="A6" s="47" t="str">
        <x:v>ALOX15</x:v>
      </x:c>
      <x:c r="B6" s="47" t="b">
        <x:f>IF(A6="","",COUNTIF($D$6:$D$33,A6)&gt;0)</x:f>
        <x:v>0</x:v>
      </x:c>
      <x:c r="C6" s="47" t="str">
        <x:f>IF(B6=TRUE,A6,"")</x:f>
      </x:c>
      <x:c r="D6" s="47" t="str">
        <x:v>ADAMTS13</x:v>
      </x:c>
      <x:c r="E6" s="47" t="str">
        <x:v>NFKB1</x:v>
      </x:c>
      <x:c r="F6" s="47" t="b">
        <x:f>IF(E6="","",COUNTIF($C$6:$C$30,E6)&gt;0)</x:f>
        <x:v>1</x:v>
      </x:c>
      <x:c r="G6" s="47" t="str">
        <x:f>IF(E6="","",IF(F6=TRUE,"PASS","FAIL"))</x:f>
        <x:v>PASS</x:v>
      </x:c>
      <x:c r="H6" s="2"/>
      <x:c r="I6" s="2"/>
      <x:c r="J6" s="2"/>
    </x:row>
    <x:row r="7" ht="22" customHeight="1">
      <x:c r="A7" s="48" t="str">
        <x:v>ANG</x:v>
      </x:c>
      <x:c r="B7" s="48" t="b">
        <x:f>IF(A7="","",COUNTIF($D$6:$D$33,A7)&gt;0)</x:f>
        <x:v>0</x:v>
      </x:c>
      <x:c r="C7" s="48" t="str">
        <x:f>IF(B7=TRUE,A7,"")</x:f>
      </x:c>
      <x:c r="D7" s="48" t="str">
        <x:v>ALB</x:v>
      </x:c>
      <x:c r="E7" s="48" t="str"/>
      <x:c r="F7" s="48" t="str"/>
      <x:c r="G7" s="48" t="str"/>
      <x:c r="H7" s="2"/>
      <x:c r="I7" s="2"/>
      <x:c r="J7" s="2"/>
    </x:row>
    <x:row r="8" ht="22" customHeight="1">
      <x:c r="A8" s="48" t="str">
        <x:v>APEX1</x:v>
      </x:c>
      <x:c r="B8" s="48" t="b">
        <x:f>IF(A8="","",COUNTIF($D$6:$D$33,A8)&gt;0)</x:f>
        <x:v>0</x:v>
      </x:c>
      <x:c r="C8" s="48" t="str">
        <x:f>IF(B8=TRUE,A8,"")</x:f>
      </x:c>
      <x:c r="D8" s="48" t="str">
        <x:v>ALOX5AP</x:v>
      </x:c>
      <x:c r="E8" s="48" t="str"/>
      <x:c r="F8" s="48" t="str"/>
      <x:c r="G8" s="48" t="str"/>
      <x:c r="H8" s="2"/>
      <x:c r="I8" s="2"/>
      <x:c r="J8" s="2"/>
    </x:row>
    <x:row r="9" ht="22" customHeight="1">
      <x:c r="A9" s="48" t="str">
        <x:v>CA12</x:v>
      </x:c>
      <x:c r="B9" s="48" t="b">
        <x:f>IF(A9="","",COUNTIF($D$6:$D$33,A9)&gt;0)</x:f>
        <x:v>0</x:v>
      </x:c>
      <x:c r="C9" s="48" t="str">
        <x:f>IF(B9=TRUE,A9,"")</x:f>
      </x:c>
      <x:c r="D9" s="48" t="str">
        <x:v>APOA1</x:v>
      </x:c>
      <x:c r="E9" s="48" t="str"/>
      <x:c r="F9" s="48" t="str"/>
      <x:c r="G9" s="48" t="str"/>
      <x:c r="H9" s="2"/>
      <x:c r="I9" s="2"/>
      <x:c r="J9" s="2"/>
    </x:row>
    <x:row r="10" ht="22" customHeight="1">
      <x:c r="A10" s="48" t="str">
        <x:v>CACNA1B</x:v>
      </x:c>
      <x:c r="B10" s="48" t="b">
        <x:f>IF(A10="","",COUNTIF($D$6:$D$33,A10)&gt;0)</x:f>
        <x:v>0</x:v>
      </x:c>
      <x:c r="C10" s="48" t="str">
        <x:f>IF(B10=TRUE,A10,"")</x:f>
      </x:c>
      <x:c r="D10" s="48" t="str">
        <x:v>AVP</x:v>
      </x:c>
      <x:c r="E10" s="48" t="str"/>
      <x:c r="F10" s="48" t="str"/>
      <x:c r="G10" s="48" t="str"/>
      <x:c r="H10" s="2"/>
      <x:c r="I10" s="2"/>
      <x:c r="J10" s="2"/>
    </x:row>
    <x:row r="11" ht="22" customHeight="1">
      <x:c r="A11" s="48" t="str">
        <x:v>CNR2</x:v>
      </x:c>
      <x:c r="B11" s="48" t="b">
        <x:f>IF(A11="","",COUNTIF($D$6:$D$33,A11)&gt;0)</x:f>
        <x:v>0</x:v>
      </x:c>
      <x:c r="C11" s="48" t="str">
        <x:f>IF(B11=TRUE,A11,"")</x:f>
      </x:c>
      <x:c r="D11" s="48" t="str">
        <x:v>BDNF</x:v>
      </x:c>
      <x:c r="E11" s="48" t="str"/>
      <x:c r="F11" s="48" t="str"/>
      <x:c r="G11" s="48" t="str"/>
      <x:c r="H11" s="2"/>
      <x:c r="I11" s="2"/>
      <x:c r="J11" s="2"/>
    </x:row>
    <x:row r="12" ht="22" customHeight="1">
      <x:c r="A12" s="48" t="str">
        <x:v>CSNK2B</x:v>
      </x:c>
      <x:c r="B12" s="48" t="b">
        <x:f>IF(A12="","",COUNTIF($D$6:$D$33,A12)&gt;0)</x:f>
        <x:v>0</x:v>
      </x:c>
      <x:c r="C12" s="48" t="str">
        <x:f>IF(B12=TRUE,A12,"")</x:f>
      </x:c>
      <x:c r="D12" s="48" t="str">
        <x:v>CRP</x:v>
      </x:c>
      <x:c r="E12" s="48" t="str"/>
      <x:c r="F12" s="48" t="str"/>
      <x:c r="G12" s="48" t="str"/>
      <x:c r="H12" s="2"/>
      <x:c r="I12" s="2"/>
      <x:c r="J12" s="2"/>
    </x:row>
    <x:row r="13" ht="22" customHeight="1">
      <x:c r="A13" s="48" t="str">
        <x:v>CTSD</x:v>
      </x:c>
      <x:c r="B13" s="48" t="b">
        <x:f>IF(A13="","",COUNTIF($D$6:$D$33,A13)&gt;0)</x:f>
        <x:v>0</x:v>
      </x:c>
      <x:c r="C13" s="48" t="str">
        <x:f>IF(B13=TRUE,A13,"")</x:f>
      </x:c>
      <x:c r="D13" s="48" t="str">
        <x:v>CST3</x:v>
      </x:c>
      <x:c r="E13" s="48" t="str"/>
      <x:c r="F13" s="48" t="str"/>
      <x:c r="G13" s="48" t="str"/>
      <x:c r="H13" s="2"/>
      <x:c r="I13" s="2"/>
      <x:c r="J13" s="2"/>
    </x:row>
    <x:row r="14" ht="22" customHeight="1">
      <x:c r="A14" s="48" t="str">
        <x:v>GLRA1</x:v>
      </x:c>
      <x:c r="B14" s="48" t="b">
        <x:f>IF(A14="","",COUNTIF($D$6:$D$33,A14)&gt;0)</x:f>
        <x:v>0</x:v>
      </x:c>
      <x:c r="C14" s="48" t="str">
        <x:f>IF(B14=TRUE,A14,"")</x:f>
      </x:c>
      <x:c r="D14" s="48" t="str">
        <x:v>CYP2C19</x:v>
      </x:c>
      <x:c r="E14" s="48" t="str"/>
      <x:c r="F14" s="48" t="str"/>
      <x:c r="G14" s="48" t="str"/>
      <x:c r="H14" s="2"/>
      <x:c r="I14" s="2"/>
      <x:c r="J14" s="2"/>
    </x:row>
    <x:row r="15" ht="22" customHeight="1">
      <x:c r="A15" s="48" t="str">
        <x:v>GLRA2</x:v>
      </x:c>
      <x:c r="B15" s="48" t="b">
        <x:f>IF(A15="","",COUNTIF($D$6:$D$33,A15)&gt;0)</x:f>
        <x:v>0</x:v>
      </x:c>
      <x:c r="C15" s="48" t="str">
        <x:f>IF(B15=TRUE,A15,"")</x:f>
      </x:c>
      <x:c r="D15" s="48" t="str">
        <x:v>ENO1</x:v>
      </x:c>
      <x:c r="E15" s="48" t="str"/>
      <x:c r="F15" s="48" t="str"/>
      <x:c r="G15" s="48" t="str"/>
      <x:c r="H15" s="2"/>
      <x:c r="I15" s="2"/>
      <x:c r="J15" s="2"/>
    </x:row>
    <x:row r="16" ht="22" customHeight="1">
      <x:c r="A16" s="48" t="str">
        <x:v>GUSB</x:v>
      </x:c>
      <x:c r="B16" s="48" t="b">
        <x:f>IF(A16="","",COUNTIF($D$6:$D$33,A16)&gt;0)</x:f>
        <x:v>0</x:v>
      </x:c>
      <x:c r="C16" s="48" t="str">
        <x:f>IF(B16=TRUE,A16,"")</x:f>
      </x:c>
      <x:c r="D16" s="48" t="str">
        <x:v>F2</x:v>
      </x:c>
      <x:c r="E16" s="48" t="str"/>
      <x:c r="F16" s="48" t="str"/>
      <x:c r="G16" s="48" t="str"/>
      <x:c r="H16" s="2"/>
      <x:c r="I16" s="2"/>
      <x:c r="J16" s="2"/>
    </x:row>
    <x:row r="17" ht="22" customHeight="1">
      <x:c r="A17" s="48" t="str">
        <x:v>HIF1A</x:v>
      </x:c>
      <x:c r="B17" s="48" t="b">
        <x:f>IF(A17="","",COUNTIF($D$6:$D$33,A17)&gt;0)</x:f>
        <x:v>0</x:v>
      </x:c>
      <x:c r="C17" s="48" t="str">
        <x:f>IF(B17=TRUE,A17,"")</x:f>
      </x:c>
      <x:c r="D17" s="48" t="str">
        <x:v>F5</x:v>
      </x:c>
      <x:c r="E17" s="48" t="str"/>
      <x:c r="F17" s="48" t="str"/>
      <x:c r="G17" s="48" t="str"/>
      <x:c r="H17" s="2"/>
      <x:c r="I17" s="2"/>
      <x:c r="J17" s="2"/>
    </x:row>
    <x:row r="18" ht="22" customHeight="1">
      <x:c r="A18" s="48" t="str">
        <x:v>HSD17B10</x:v>
      </x:c>
      <x:c r="B18" s="48" t="b">
        <x:f>IF(A18="","",COUNTIF($D$6:$D$33,A18)&gt;0)</x:f>
        <x:v>0</x:v>
      </x:c>
      <x:c r="C18" s="48" t="str">
        <x:f>IF(B18=TRUE,A18,"")</x:f>
      </x:c>
      <x:c r="D18" s="48" t="str">
        <x:v>GFAP</x:v>
      </x:c>
      <x:c r="E18" s="48" t="str"/>
      <x:c r="F18" s="48" t="str"/>
      <x:c r="G18" s="48" t="str"/>
      <x:c r="H18" s="2"/>
      <x:c r="I18" s="2"/>
      <x:c r="J18" s="2"/>
    </x:row>
    <x:row r="19" ht="22" customHeight="1">
      <x:c r="A19" s="48" t="str">
        <x:v>LMNA</x:v>
      </x:c>
      <x:c r="B19" s="48" t="b">
        <x:f>IF(A19="","",COUNTIF($D$6:$D$33,A19)&gt;0)</x:f>
        <x:v>0</x:v>
      </x:c>
      <x:c r="C19" s="48" t="str">
        <x:f>IF(B19=TRUE,A19,"")</x:f>
      </x:c>
      <x:c r="D19" s="48" t="str">
        <x:v>IL6</x:v>
      </x:c>
      <x:c r="E19" s="48" t="str"/>
      <x:c r="F19" s="48" t="str"/>
      <x:c r="G19" s="48" t="str"/>
      <x:c r="H19" s="2"/>
      <x:c r="I19" s="2"/>
      <x:c r="J19" s="2"/>
    </x:row>
    <x:row r="20" ht="22" customHeight="1">
      <x:c r="A20" s="48" t="str">
        <x:v>NFKB1</x:v>
      </x:c>
      <x:c r="B20" s="48" t="b">
        <x:f>IF(A20="","",COUNTIF($D$6:$D$33,A20)&gt;0)</x:f>
        <x:v>1</x:v>
      </x:c>
      <x:c r="C20" s="48" t="str">
        <x:f>IF(B20=TRUE,A20,"")</x:f>
        <x:v>NFKB1</x:v>
      </x:c>
      <x:c r="D20" s="48" t="str">
        <x:v>JAK2</x:v>
      </x:c>
      <x:c r="E20" s="48" t="str"/>
      <x:c r="F20" s="48" t="str"/>
      <x:c r="G20" s="48" t="str"/>
      <x:c r="H20" s="2"/>
      <x:c r="I20" s="2"/>
      <x:c r="J20" s="2"/>
    </x:row>
    <x:row r="21" ht="22" customHeight="1">
      <x:c r="A21" s="48" t="str">
        <x:v>PPIA</x:v>
      </x:c>
      <x:c r="B21" s="48" t="b">
        <x:f>IF(A21="","",COUNTIF($D$6:$D$33,A21)&gt;0)</x:f>
        <x:v>0</x:v>
      </x:c>
      <x:c r="C21" s="48" t="str">
        <x:f>IF(B21=TRUE,A21,"")</x:f>
      </x:c>
      <x:c r="D21" s="48" t="str">
        <x:v>MMP2</x:v>
      </x:c>
      <x:c r="E21" s="48" t="str"/>
      <x:c r="F21" s="48" t="str"/>
      <x:c r="G21" s="48" t="str"/>
      <x:c r="H21" s="2"/>
      <x:c r="I21" s="2"/>
      <x:c r="J21" s="2"/>
    </x:row>
    <x:row r="22" ht="22" customHeight="1">
      <x:c r="A22" s="48" t="str">
        <x:v>PTAFR</x:v>
      </x:c>
      <x:c r="B22" s="48" t="b">
        <x:f>IF(A22="","",COUNTIF($D$6:$D$33,A22)&gt;0)</x:f>
        <x:v>0</x:v>
      </x:c>
      <x:c r="C22" s="48" t="str">
        <x:f>IF(B22=TRUE,A22,"")</x:f>
      </x:c>
      <x:c r="D22" s="48" t="str">
        <x:v>MMP9</x:v>
      </x:c>
      <x:c r="E22" s="48" t="str"/>
      <x:c r="F22" s="48" t="str"/>
      <x:c r="G22" s="48" t="str"/>
      <x:c r="H22" s="2"/>
      <x:c r="I22" s="2"/>
      <x:c r="J22" s="2"/>
    </x:row>
    <x:row r="23" ht="22" customHeight="1">
      <x:c r="A23" s="48" t="str">
        <x:v>SLCO1B1</x:v>
      </x:c>
      <x:c r="B23" s="48" t="b">
        <x:f>IF(A23="","",COUNTIF($D$6:$D$33,A23)&gt;0)</x:f>
        <x:v>0</x:v>
      </x:c>
      <x:c r="C23" s="48" t="str">
        <x:f>IF(B23=TRUE,A23,"")</x:f>
      </x:c>
      <x:c r="D23" s="48" t="str">
        <x:v>NFKB1</x:v>
      </x:c>
      <x:c r="E23" s="48" t="str"/>
      <x:c r="F23" s="48" t="str"/>
      <x:c r="G23" s="48" t="str"/>
      <x:c r="H23" s="2"/>
      <x:c r="I23" s="2"/>
      <x:c r="J23" s="2"/>
    </x:row>
    <x:row r="24" ht="22" customHeight="1">
      <x:c r="A24" s="48" t="str">
        <x:v>SLCO1B3</x:v>
      </x:c>
      <x:c r="B24" s="48" t="b">
        <x:f>IF(A24="","",COUNTIF($D$6:$D$33,A24)&gt;0)</x:f>
        <x:v>0</x:v>
      </x:c>
      <x:c r="C24" s="48" t="str">
        <x:f>IF(B24=TRUE,A24,"")</x:f>
      </x:c>
      <x:c r="D24" s="48" t="str">
        <x:v>NPPB</x:v>
      </x:c>
      <x:c r="E24" s="48" t="str"/>
      <x:c r="F24" s="48" t="str"/>
      <x:c r="G24" s="48" t="str"/>
      <x:c r="H24" s="2"/>
      <x:c r="I24" s="2"/>
      <x:c r="J24" s="2"/>
    </x:row>
    <x:row r="25" ht="22" customHeight="1">
      <x:c r="A25" s="48" t="str">
        <x:v>SMN1</x:v>
      </x:c>
      <x:c r="B25" s="48" t="b">
        <x:f>IF(A25="","",COUNTIF($D$6:$D$33,A25)&gt;0)</x:f>
        <x:v>0</x:v>
      </x:c>
      <x:c r="C25" s="48" t="str">
        <x:f>IF(B25=TRUE,A25,"")</x:f>
      </x:c>
      <x:c r="D25" s="48" t="str">
        <x:v>PLA2G7</x:v>
      </x:c>
      <x:c r="E25" s="48" t="str"/>
      <x:c r="F25" s="48" t="str"/>
      <x:c r="G25" s="48" t="str"/>
      <x:c r="H25" s="2"/>
      <x:c r="I25" s="2"/>
      <x:c r="J25" s="2"/>
    </x:row>
    <x:row r="26" ht="22" customHeight="1">
      <x:c r="A26" s="48" t="str">
        <x:v>SMN2</x:v>
      </x:c>
      <x:c r="B26" s="48" t="b">
        <x:f>IF(A26="","",COUNTIF($D$6:$D$33,A26)&gt;0)</x:f>
        <x:v>0</x:v>
      </x:c>
      <x:c r="C26" s="48" t="str">
        <x:f>IF(B26=TRUE,A26,"")</x:f>
      </x:c>
      <x:c r="D26" s="48" t="str">
        <x:v>PLAT</x:v>
      </x:c>
      <x:c r="E26" s="48" t="str"/>
      <x:c r="F26" s="48" t="str"/>
      <x:c r="G26" s="48" t="str"/>
      <x:c r="H26" s="2"/>
      <x:c r="I26" s="2"/>
      <x:c r="J26" s="2"/>
    </x:row>
    <x:row r="27" ht="22" customHeight="1">
      <x:c r="A27" s="48" t="str">
        <x:v>THRB</x:v>
      </x:c>
      <x:c r="B27" s="48" t="b">
        <x:f>IF(A27="","",COUNTIF($D$6:$D$33,A27)&gt;0)</x:f>
        <x:v>0</x:v>
      </x:c>
      <x:c r="C27" s="48" t="str">
        <x:f>IF(B27=TRUE,A27,"")</x:f>
      </x:c>
      <x:c r="D27" s="48" t="str">
        <x:v>PLAU</x:v>
      </x:c>
      <x:c r="E27" s="48" t="str"/>
      <x:c r="F27" s="48" t="str"/>
      <x:c r="G27" s="48" t="str"/>
      <x:c r="H27" s="2"/>
      <x:c r="I27" s="2"/>
      <x:c r="J27" s="2"/>
    </x:row>
    <x:row r="28" ht="22" customHeight="1">
      <x:c r="A28" s="48" t="str">
        <x:v>TOP2A</x:v>
      </x:c>
      <x:c r="B28" s="48" t="b">
        <x:f>IF(A28="","",COUNTIF($D$6:$D$33,A28)&gt;0)</x:f>
        <x:v>0</x:v>
      </x:c>
      <x:c r="C28" s="48" t="str">
        <x:f>IF(B28=TRUE,A28,"")</x:f>
      </x:c>
      <x:c r="D28" s="48" t="str">
        <x:v>S100B</x:v>
      </x:c>
      <x:c r="E28" s="48" t="str"/>
      <x:c r="F28" s="48" t="str"/>
      <x:c r="G28" s="48" t="str"/>
      <x:c r="H28" s="2"/>
      <x:c r="I28" s="2"/>
      <x:c r="J28" s="2"/>
    </x:row>
    <x:row r="29" ht="22" customHeight="1">
      <x:c r="A29" s="48" t="str">
        <x:v>TRIM24</x:v>
      </x:c>
      <x:c r="B29" s="48" t="b">
        <x:f>IF(A29="","",COUNTIF($D$6:$D$33,A29)&gt;0)</x:f>
        <x:v>0</x:v>
      </x:c>
      <x:c r="C29" s="48" t="str">
        <x:f>IF(B29=TRUE,A29,"")</x:f>
      </x:c>
      <x:c r="D29" s="48" t="str">
        <x:v>SERPINE1</x:v>
      </x:c>
      <x:c r="E29" s="48" t="str"/>
      <x:c r="F29" s="48" t="str"/>
      <x:c r="G29" s="48" t="str"/>
      <x:c r="H29" s="2"/>
      <x:c r="I29" s="2"/>
      <x:c r="J29" s="2"/>
    </x:row>
    <x:row r="30" ht="22" customHeight="1">
      <x:c r="A30" s="48" t="str">
        <x:v>TSHR</x:v>
      </x:c>
      <x:c r="B30" s="48" t="b">
        <x:f>IF(A30="","",COUNTIF($D$6:$D$33,A30)&gt;0)</x:f>
        <x:v>0</x:v>
      </x:c>
      <x:c r="C30" s="48" t="str">
        <x:f>IF(B30=TRUE,A30,"")</x:f>
      </x:c>
      <x:c r="D30" s="48" t="str">
        <x:v>TJP1</x:v>
      </x:c>
      <x:c r="E30" s="48" t="str"/>
      <x:c r="F30" s="48" t="str"/>
      <x:c r="G30" s="48" t="str"/>
      <x:c r="H30" s="2"/>
      <x:c r="I30" s="2"/>
      <x:c r="J30" s="2"/>
    </x:row>
    <x:row r="31" ht="22" customHeight="1">
      <x:c r="A31" s="48" t="str"/>
      <x:c r="B31" s="48" t="str"/>
      <x:c r="C31" s="48" t="str"/>
      <x:c r="D31" s="48" t="str">
        <x:v>TLR4</x:v>
      </x:c>
      <x:c r="E31" s="48" t="str"/>
      <x:c r="F31" s="48" t="str"/>
      <x:c r="G31" s="48" t="str"/>
      <x:c r="H31" s="2"/>
      <x:c r="I31" s="2"/>
      <x:c r="J31" s="2"/>
    </x:row>
    <x:row r="32" ht="22" customHeight="1">
      <x:c r="A32" s="48" t="str"/>
      <x:c r="B32" s="48" t="str"/>
      <x:c r="C32" s="48" t="str"/>
      <x:c r="D32" s="48" t="str">
        <x:v>TNF</x:v>
      </x:c>
      <x:c r="E32" s="48" t="str"/>
      <x:c r="F32" s="48" t="str"/>
      <x:c r="G32" s="48" t="str"/>
      <x:c r="H32" s="2"/>
      <x:c r="I32" s="2"/>
      <x:c r="J32" s="2"/>
    </x:row>
    <x:row r="33" ht="22" customHeight="1">
      <x:c r="A33" s="49" t="str"/>
      <x:c r="B33" s="49" t="str"/>
      <x:c r="C33" s="49" t="str"/>
      <x:c r="D33" s="49" t="str">
        <x:v>VEGFA</x:v>
      </x:c>
      <x:c r="E33" s="49" t="str"/>
      <x:c r="F33" s="49" t="str"/>
      <x:c r="G33" s="49" t="str"/>
      <x:c r="H33" s="2"/>
      <x:c r="I33" s="2"/>
      <x:c r="J33" s="2"/>
    </x:row>
  </x:sheetData>
  <x:mergeCells>
    <x:mergeCell ref="A1:J1"/>
    <x:mergeCell ref="A2:J2"/>
  </x:mergeCells>
  <x:conditionalFormatting sqref="I5:I5">
    <x:cfRule type="containsText" dxfId="0" priority="1" operator="containsText" text="PASS"/>
    <x:cfRule type="containsText" dxfId="1" priority="2" operator="containsText" text="FAIL"/>
  </x:conditionalFormatting>
  <x:conditionalFormatting sqref="B6:B30">
    <x:cfRule type="cellIs" dxfId="2" priority="3" operator="equal">
      <x:formula>TRUE</x:formula>
    </x:cfRule>
  </x:conditionalFormatting>
  <x:conditionalFormatting sqref="F6:F6">
    <x:cfRule type="cellIs" dxfId="3" priority="4" operator="equal">
      <x:formula>TRUE</x:formula>
    </x:cfRule>
  </x:conditionalFormatting>
  <x:conditionalFormatting sqref="G6:G6">
    <x:cfRule type="containsText" dxfId="4" priority="5" operator="containsText" text="PASS"/>
    <x:cfRule type="containsText" dxfId="5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e9b9eefe10a4f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9" hidden="0" customWidth="1"/>
    <x:col min="4" max="4" width="21" hidden="0" customWidth="1"/>
    <x:col min="5" max="5" width="28" hidden="0" customWidth="1"/>
    <x:col min="6" max="6" width="32" hidden="0" customWidth="1"/>
    <x:col min="7" max="7" width="14" hidden="0" customWidth="1"/>
    <x:col min="8" max="8" width="24" hidden="0" customWidth="1"/>
    <x:col min="9" max="9" width="16" hidden="0" customWidth="1"/>
    <x:col min="10" max="10" width="38" hidden="0" customWidth="1"/>
  </x:cols>
  <x:sheetData>
    <x:row r="1" ht="31" customHeight="1">
      <x:c r="A1" s="5" t="str">
        <x:v>L2_Primary — 公式审计与静态交集互证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7" customHeight="1">
      <x:c r="A2" s="9" t="str">
        <x:v>Bilobalide Recommended_42 ∩ AIS Primary_81；预设主分析交集；HIF1A与NFKB1定义为主分析锚定靶点。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3" customHeight="1">
      <x:c r="A3" s="13" t="str">
        <x:v>Drug n=42</x:v>
      </x:c>
      <x:c r="B3" s="13" t="str">
        <x:v>Bilobalide Recommended_42</x:v>
      </x:c>
      <x:c r="C3" s="13" t="str">
        <x:v>AIS n=81</x:v>
      </x:c>
      <x:c r="D3" s="13" t="str">
        <x:v>AIS Primary_81</x:v>
      </x:c>
      <x:c r="E3" s="13" t="str">
        <x:v>Verified n=2</x:v>
      </x:c>
      <x:c r="F3" s="13" t="str">
        <x:v>HIF1A;NFKB1</x:v>
      </x:c>
      <x:c r="G3" s="13" t="str">
        <x:v>程序静态结果</x:v>
      </x:c>
      <x:c r="H3" s="33" t="str">
        <x:v>Row-formula count snapshot</x:v>
      </x:c>
      <x:c r="I3" s="36" t="n">
        <x:v>2</x:v>
      </x:c>
      <x:c r="J3" s="26" t="str">
        <x:v>COUNTIF(B6:B47,TRUE)</x:v>
      </x:c>
    </x:row>
    <x:row r="4" ht="23" customHeight="1">
      <x:c r="A4" s="2"/>
      <x:c r="B4" s="2"/>
      <x:c r="C4" s="2"/>
      <x:c r="D4" s="2"/>
      <x:c r="E4" s="2"/>
      <x:c r="F4" s="2"/>
      <x:c r="G4" s="2"/>
      <x:c r="H4" s="34" t="str">
        <x:v>Static verified count</x:v>
      </x:c>
      <x:c r="I4" s="37" t="n">
        <x:v>2</x:v>
      </x:c>
      <x:c r="J4" s="29" t="str">
        <x:v>COUNTIF(E6:E86,"?*")</x:v>
      </x:c>
    </x:row>
    <x:row r="5" ht="34" customHeight="1">
      <x:c r="A5" s="44" t="str">
        <x:v>Drug_Gene</x:v>
      </x:c>
      <x:c r="B5" s="45" t="str">
        <x:v>In_Disease_Set</x:v>
      </x:c>
      <x:c r="C5" s="45" t="str">
        <x:v>Formula_Intersection_Gene</x:v>
      </x:c>
      <x:c r="D5" s="45" t="str">
        <x:v>Disease_Gene</x:v>
      </x:c>
      <x:c r="E5" s="45" t="str">
        <x:v>Verified_Intersection_Gene</x:v>
      </x:c>
      <x:c r="F5" s="45" t="str">
        <x:v>Verified_Gene_In_Formula_Result</x:v>
      </x:c>
      <x:c r="G5" s="46" t="str">
        <x:v>Row_QC</x:v>
      </x:c>
      <x:c r="H5" s="35" t="str">
        <x:v>Row audit QC snapshot</x:v>
      </x:c>
      <x:c r="I5" s="31" t="str">
        <x:v>PASS</x:v>
      </x:c>
      <x:c r="J5" s="32" t="str">
        <x:v>逐行B/C/F/G为活公式；本区为冻结快照</x:v>
      </x:c>
    </x:row>
    <x:row r="6" ht="22" customHeight="1">
      <x:c r="A6" s="47" t="str">
        <x:v>ALOX15</x:v>
      </x:c>
      <x:c r="B6" s="47" t="b">
        <x:f>IF(A6="","",COUNTIF($D$6:$D$86,A6)&gt;0)</x:f>
        <x:v>0</x:v>
      </x:c>
      <x:c r="C6" s="47" t="str">
        <x:f>IF(B6=TRUE,A6,"")</x:f>
      </x:c>
      <x:c r="D6" s="47" t="str">
        <x:v>ABCB1</x:v>
      </x:c>
      <x:c r="E6" s="47" t="str">
        <x:v>HIF1A</x:v>
      </x:c>
      <x:c r="F6" s="47" t="b">
        <x:f>IF(E6="","",COUNTIF($C$6:$C$47,E6)&gt;0)</x:f>
        <x:v>1</x:v>
      </x:c>
      <x:c r="G6" s="47" t="str">
        <x:f>IF(E6="","",IF(F6=TRUE,"PASS","FAIL"))</x:f>
        <x:v>PASS</x:v>
      </x:c>
      <x:c r="H6" s="2"/>
      <x:c r="I6" s="2"/>
      <x:c r="J6" s="2"/>
    </x:row>
    <x:row r="7" ht="22" customHeight="1">
      <x:c r="A7" s="48" t="str">
        <x:v>ANG</x:v>
      </x:c>
      <x:c r="B7" s="48" t="b">
        <x:f>IF(A7="","",COUNTIF($D$6:$D$86,A7)&gt;0)</x:f>
        <x:v>0</x:v>
      </x:c>
      <x:c r="C7" s="48" t="str">
        <x:f>IF(B7=TRUE,A7,"")</x:f>
      </x:c>
      <x:c r="D7" s="48" t="str">
        <x:v>ABCC8</x:v>
      </x:c>
      <x:c r="E7" s="48" t="str">
        <x:v>NFKB1</x:v>
      </x:c>
      <x:c r="F7" s="48" t="b">
        <x:f>IF(E7="","",COUNTIF($C$6:$C$47,E7)&gt;0)</x:f>
        <x:v>1</x:v>
      </x:c>
      <x:c r="G7" s="48" t="str">
        <x:f>IF(E7="","",IF(F7=TRUE,"PASS","FAIL"))</x:f>
        <x:v>PASS</x:v>
      </x:c>
      <x:c r="H7" s="2"/>
      <x:c r="I7" s="2"/>
      <x:c r="J7" s="2"/>
    </x:row>
    <x:row r="8" ht="22" customHeight="1">
      <x:c r="A8" s="48" t="str">
        <x:v>APEX1</x:v>
      </x:c>
      <x:c r="B8" s="48" t="b">
        <x:f>IF(A8="","",COUNTIF($D$6:$D$86,A8)&gt;0)</x:f>
        <x:v>0</x:v>
      </x:c>
      <x:c r="C8" s="48" t="str">
        <x:f>IF(B8=TRUE,A8,"")</x:f>
      </x:c>
      <x:c r="D8" s="48" t="str">
        <x:v>ACE</x:v>
      </x:c>
      <x:c r="E8" s="48" t="str"/>
      <x:c r="F8" s="48" t="str"/>
      <x:c r="G8" s="48" t="str"/>
      <x:c r="H8" s="2"/>
      <x:c r="I8" s="2"/>
      <x:c r="J8" s="2"/>
    </x:row>
    <x:row r="9" ht="22" customHeight="1">
      <x:c r="A9" s="48" t="str">
        <x:v>AR</x:v>
      </x:c>
      <x:c r="B9" s="48" t="b">
        <x:f>IF(A9="","",COUNTIF($D$6:$D$86,A9)&gt;0)</x:f>
        <x:v>0</x:v>
      </x:c>
      <x:c r="C9" s="48" t="str">
        <x:f>IF(B9=TRUE,A9,"")</x:f>
      </x:c>
      <x:c r="D9" s="48" t="str">
        <x:v>ACE2</x:v>
      </x:c>
      <x:c r="E9" s="48" t="str"/>
      <x:c r="F9" s="48" t="str"/>
      <x:c r="G9" s="48" t="str"/>
      <x:c r="H9" s="2"/>
      <x:c r="I9" s="2"/>
      <x:c r="J9" s="2"/>
    </x:row>
    <x:row r="10" ht="22" customHeight="1">
      <x:c r="A10" s="48" t="str">
        <x:v>BCHE</x:v>
      </x:c>
      <x:c r="B10" s="48" t="b">
        <x:f>IF(A10="","",COUNTIF($D$6:$D$86,A10)&gt;0)</x:f>
        <x:v>0</x:v>
      </x:c>
      <x:c r="C10" s="48" t="str">
        <x:f>IF(B10=TRUE,A10,"")</x:f>
      </x:c>
      <x:c r="D10" s="48" t="str">
        <x:v>ADAMTS13</x:v>
      </x:c>
      <x:c r="E10" s="48" t="str"/>
      <x:c r="F10" s="48" t="str"/>
      <x:c r="G10" s="48" t="str"/>
      <x:c r="H10" s="2"/>
      <x:c r="I10" s="2"/>
      <x:c r="J10" s="2"/>
    </x:row>
    <x:row r="11" ht="22" customHeight="1">
      <x:c r="A11" s="48" t="str">
        <x:v>CA12</x:v>
      </x:c>
      <x:c r="B11" s="48" t="b">
        <x:f>IF(A11="","",COUNTIF($D$6:$D$86,A11)&gt;0)</x:f>
        <x:v>0</x:v>
      </x:c>
      <x:c r="C11" s="48" t="str">
        <x:f>IF(B11=TRUE,A11,"")</x:f>
      </x:c>
      <x:c r="D11" s="48" t="str">
        <x:v>ADIPOQ</x:v>
      </x:c>
      <x:c r="E11" s="48" t="str"/>
      <x:c r="F11" s="48" t="str"/>
      <x:c r="G11" s="48" t="str"/>
      <x:c r="H11" s="2"/>
      <x:c r="I11" s="2"/>
      <x:c r="J11" s="2"/>
    </x:row>
    <x:row r="12" ht="22" customHeight="1">
      <x:c r="A12" s="48" t="str">
        <x:v>CA2</x:v>
      </x:c>
      <x:c r="B12" s="48" t="b">
        <x:f>IF(A12="","",COUNTIF($D$6:$D$86,A12)&gt;0)</x:f>
        <x:v>0</x:v>
      </x:c>
      <x:c r="C12" s="48" t="str">
        <x:f>IF(B12=TRUE,A12,"")</x:f>
      </x:c>
      <x:c r="D12" s="48" t="str">
        <x:v>ALB</x:v>
      </x:c>
      <x:c r="E12" s="48" t="str"/>
      <x:c r="F12" s="48" t="str"/>
      <x:c r="G12" s="48" t="str"/>
      <x:c r="H12" s="2"/>
      <x:c r="I12" s="2"/>
      <x:c r="J12" s="2"/>
    </x:row>
    <x:row r="13" ht="22" customHeight="1">
      <x:c r="A13" s="48" t="str">
        <x:v>CACNA1B</x:v>
      </x:c>
      <x:c r="B13" s="48" t="b">
        <x:f>IF(A13="","",COUNTIF($D$6:$D$86,A13)&gt;0)</x:f>
        <x:v>0</x:v>
      </x:c>
      <x:c r="C13" s="48" t="str">
        <x:f>IF(B13=TRUE,A13,"")</x:f>
      </x:c>
      <x:c r="D13" s="48" t="str">
        <x:v>ALOX5AP</x:v>
      </x:c>
      <x:c r="E13" s="48" t="str"/>
      <x:c r="F13" s="48" t="str"/>
      <x:c r="G13" s="48" t="str"/>
      <x:c r="H13" s="2"/>
      <x:c r="I13" s="2"/>
      <x:c r="J13" s="2"/>
    </x:row>
    <x:row r="14" ht="22" customHeight="1">
      <x:c r="A14" s="48" t="str">
        <x:v>CASP1</x:v>
      </x:c>
      <x:c r="B14" s="48" t="b">
        <x:f>IF(A14="","",COUNTIF($D$6:$D$86,A14)&gt;0)</x:f>
        <x:v>0</x:v>
      </x:c>
      <x:c r="C14" s="48" t="str">
        <x:f>IF(B14=TRUE,A14,"")</x:f>
      </x:c>
      <x:c r="D14" s="48" t="str">
        <x:v>APOA1</x:v>
      </x:c>
      <x:c r="E14" s="48" t="str"/>
      <x:c r="F14" s="48" t="str"/>
      <x:c r="G14" s="48" t="str"/>
      <x:c r="H14" s="2"/>
      <x:c r="I14" s="2"/>
      <x:c r="J14" s="2"/>
    </x:row>
    <x:row r="15" ht="22" customHeight="1">
      <x:c r="A15" s="48" t="str">
        <x:v>CNR2</x:v>
      </x:c>
      <x:c r="B15" s="48" t="b">
        <x:f>IF(A15="","",COUNTIF($D$6:$D$86,A15)&gt;0)</x:f>
        <x:v>0</x:v>
      </x:c>
      <x:c r="C15" s="48" t="str">
        <x:f>IF(B15=TRUE,A15,"")</x:f>
      </x:c>
      <x:c r="D15" s="48" t="str">
        <x:v>APOE</x:v>
      </x:c>
      <x:c r="E15" s="48" t="str"/>
      <x:c r="F15" s="48" t="str"/>
      <x:c r="G15" s="48" t="str"/>
      <x:c r="H15" s="2"/>
      <x:c r="I15" s="2"/>
      <x:c r="J15" s="2"/>
    </x:row>
    <x:row r="16" ht="22" customHeight="1">
      <x:c r="A16" s="48" t="str">
        <x:v>CSNK2B</x:v>
      </x:c>
      <x:c r="B16" s="48" t="b">
        <x:f>IF(A16="","",COUNTIF($D$6:$D$86,A16)&gt;0)</x:f>
        <x:v>0</x:v>
      </x:c>
      <x:c r="C16" s="48" t="str">
        <x:f>IF(B16=TRUE,A16,"")</x:f>
      </x:c>
      <x:c r="D16" s="48" t="str">
        <x:v>AQP4</x:v>
      </x:c>
      <x:c r="E16" s="48" t="str"/>
      <x:c r="F16" s="48" t="str"/>
      <x:c r="G16" s="48" t="str"/>
      <x:c r="H16" s="2"/>
      <x:c r="I16" s="2"/>
      <x:c r="J16" s="2"/>
    </x:row>
    <x:row r="17" ht="22" customHeight="1">
      <x:c r="A17" s="48" t="str">
        <x:v>CTSD</x:v>
      </x:c>
      <x:c r="B17" s="48" t="b">
        <x:f>IF(A17="","",COUNTIF($D$6:$D$86,A17)&gt;0)</x:f>
        <x:v>0</x:v>
      </x:c>
      <x:c r="C17" s="48" t="str">
        <x:f>IF(B17=TRUE,A17,"")</x:f>
      </x:c>
      <x:c r="D17" s="48" t="str">
        <x:v>ARHGEF15</x:v>
      </x:c>
      <x:c r="E17" s="48" t="str"/>
      <x:c r="F17" s="48" t="str"/>
      <x:c r="G17" s="48" t="str"/>
      <x:c r="H17" s="2"/>
      <x:c r="I17" s="2"/>
      <x:c r="J17" s="2"/>
    </x:row>
    <x:row r="18" ht="22" customHeight="1">
      <x:c r="A18" s="48" t="str">
        <x:v>DRD2</x:v>
      </x:c>
      <x:c r="B18" s="48" t="b">
        <x:f>IF(A18="","",COUNTIF($D$6:$D$86,A18)&gt;0)</x:f>
        <x:v>0</x:v>
      </x:c>
      <x:c r="C18" s="48" t="str">
        <x:f>IF(B18=TRUE,A18,"")</x:f>
      </x:c>
      <x:c r="D18" s="48" t="str">
        <x:v>AVP</x:v>
      </x:c>
      <x:c r="E18" s="48" t="str"/>
      <x:c r="F18" s="48" t="str"/>
      <x:c r="G18" s="48" t="str"/>
      <x:c r="H18" s="2"/>
      <x:c r="I18" s="2"/>
      <x:c r="J18" s="2"/>
    </x:row>
    <x:row r="19" ht="22" customHeight="1">
      <x:c r="A19" s="48" t="str">
        <x:v>GLRA1</x:v>
      </x:c>
      <x:c r="B19" s="48" t="b">
        <x:f>IF(A19="","",COUNTIF($D$6:$D$86,A19)&gt;0)</x:f>
        <x:v>0</x:v>
      </x:c>
      <x:c r="C19" s="48" t="str">
        <x:f>IF(B19=TRUE,A19,"")</x:f>
      </x:c>
      <x:c r="D19" s="48" t="str">
        <x:v>BDNF</x:v>
      </x:c>
      <x:c r="E19" s="48" t="str"/>
      <x:c r="F19" s="48" t="str"/>
      <x:c r="G19" s="48" t="str"/>
      <x:c r="H19" s="2"/>
      <x:c r="I19" s="2"/>
      <x:c r="J19" s="2"/>
    </x:row>
    <x:row r="20" ht="22" customHeight="1">
      <x:c r="A20" s="48" t="str">
        <x:v>GLRA2</x:v>
      </x:c>
      <x:c r="B20" s="48" t="b">
        <x:f>IF(A20="","",COUNTIF($D$6:$D$86,A20)&gt;0)</x:f>
        <x:v>0</x:v>
      </x:c>
      <x:c r="C20" s="48" t="str">
        <x:f>IF(B20=TRUE,A20,"")</x:f>
      </x:c>
      <x:c r="D20" s="48" t="str">
        <x:v>C3</x:v>
      </x:c>
      <x:c r="E20" s="48" t="str"/>
      <x:c r="F20" s="48" t="str"/>
      <x:c r="G20" s="48" t="str"/>
      <x:c r="H20" s="2"/>
      <x:c r="I20" s="2"/>
      <x:c r="J20" s="2"/>
    </x:row>
    <x:row r="21" ht="22" customHeight="1">
      <x:c r="A21" s="48" t="str">
        <x:v>GUSB</x:v>
      </x:c>
      <x:c r="B21" s="48" t="b">
        <x:f>IF(A21="","",COUNTIF($D$6:$D$86,A21)&gt;0)</x:f>
        <x:v>0</x:v>
      </x:c>
      <x:c r="C21" s="48" t="str">
        <x:f>IF(B21=TRUE,A21,"")</x:f>
      </x:c>
      <x:c r="D21" s="48" t="str">
        <x:v>CASP3</x:v>
      </x:c>
      <x:c r="E21" s="48" t="str"/>
      <x:c r="F21" s="48" t="str"/>
      <x:c r="G21" s="48" t="str"/>
      <x:c r="H21" s="2"/>
      <x:c r="I21" s="2"/>
      <x:c r="J21" s="2"/>
    </x:row>
    <x:row r="22" ht="22" customHeight="1">
      <x:c r="A22" s="48" t="str">
        <x:v>HIF1A</x:v>
      </x:c>
      <x:c r="B22" s="48" t="b">
        <x:f>IF(A22="","",COUNTIF($D$6:$D$86,A22)&gt;0)</x:f>
        <x:v>1</x:v>
      </x:c>
      <x:c r="C22" s="48" t="str">
        <x:f>IF(B22=TRUE,A22,"")</x:f>
        <x:v>HIF1A</x:v>
      </x:c>
      <x:c r="D22" s="48" t="str">
        <x:v>CAV1</x:v>
      </x:c>
      <x:c r="E22" s="48" t="str"/>
      <x:c r="F22" s="48" t="str"/>
      <x:c r="G22" s="48" t="str"/>
      <x:c r="H22" s="2"/>
      <x:c r="I22" s="2"/>
      <x:c r="J22" s="2"/>
    </x:row>
    <x:row r="23" ht="22" customHeight="1">
      <x:c r="A23" s="48" t="str">
        <x:v>HMGCR</x:v>
      </x:c>
      <x:c r="B23" s="48" t="b">
        <x:f>IF(A23="","",COUNTIF($D$6:$D$86,A23)&gt;0)</x:f>
        <x:v>0</x:v>
      </x:c>
      <x:c r="C23" s="48" t="str">
        <x:f>IF(B23=TRUE,A23,"")</x:f>
      </x:c>
      <x:c r="D23" s="48" t="str">
        <x:v>CCL2</x:v>
      </x:c>
      <x:c r="E23" s="48" t="str"/>
      <x:c r="F23" s="48" t="str"/>
      <x:c r="G23" s="48" t="str"/>
      <x:c r="H23" s="2"/>
      <x:c r="I23" s="2"/>
      <x:c r="J23" s="2"/>
    </x:row>
    <x:row r="24" ht="22" customHeight="1">
      <x:c r="A24" s="48" t="str">
        <x:v>HSD17B10</x:v>
      </x:c>
      <x:c r="B24" s="48" t="b">
        <x:f>IF(A24="","",COUNTIF($D$6:$D$86,A24)&gt;0)</x:f>
        <x:v>0</x:v>
      </x:c>
      <x:c r="C24" s="48" t="str">
        <x:f>IF(B24=TRUE,A24,"")</x:f>
      </x:c>
      <x:c r="D24" s="48" t="str">
        <x:v>CHI3L1</x:v>
      </x:c>
      <x:c r="E24" s="48" t="str"/>
      <x:c r="F24" s="48" t="str"/>
      <x:c r="G24" s="48" t="str"/>
      <x:c r="H24" s="2"/>
      <x:c r="I24" s="2"/>
      <x:c r="J24" s="2"/>
    </x:row>
    <x:row r="25" ht="22" customHeight="1">
      <x:c r="A25" s="48" t="str">
        <x:v>HSP90AA1</x:v>
      </x:c>
      <x:c r="B25" s="48" t="b">
        <x:f>IF(A25="","",COUNTIF($D$6:$D$86,A25)&gt;0)</x:f>
        <x:v>0</x:v>
      </x:c>
      <x:c r="C25" s="48" t="str">
        <x:f>IF(B25=TRUE,A25,"")</x:f>
      </x:c>
      <x:c r="D25" s="48" t="str">
        <x:v>CLDN5</x:v>
      </x:c>
      <x:c r="E25" s="48" t="str"/>
      <x:c r="F25" s="48" t="str"/>
      <x:c r="G25" s="48" t="str"/>
      <x:c r="H25" s="2"/>
      <x:c r="I25" s="2"/>
      <x:c r="J25" s="2"/>
    </x:row>
    <x:row r="26" ht="22" customHeight="1">
      <x:c r="A26" s="48" t="str">
        <x:v>LMNA</x:v>
      </x:c>
      <x:c r="B26" s="48" t="b">
        <x:f>IF(A26="","",COUNTIF($D$6:$D$86,A26)&gt;0)</x:f>
        <x:v>0</x:v>
      </x:c>
      <x:c r="C26" s="48" t="str">
        <x:f>IF(B26=TRUE,A26,"")</x:f>
      </x:c>
      <x:c r="D26" s="48" t="str">
        <x:v>CPB2</x:v>
      </x:c>
      <x:c r="E26" s="48" t="str"/>
      <x:c r="F26" s="48" t="str"/>
      <x:c r="G26" s="48" t="str"/>
      <x:c r="H26" s="2"/>
      <x:c r="I26" s="2"/>
      <x:c r="J26" s="2"/>
    </x:row>
    <x:row r="27" ht="22" customHeight="1">
      <x:c r="A27" s="48" t="str">
        <x:v>NFE2L2</x:v>
      </x:c>
      <x:c r="B27" s="48" t="b">
        <x:f>IF(A27="","",COUNTIF($D$6:$D$86,A27)&gt;0)</x:f>
        <x:v>0</x:v>
      </x:c>
      <x:c r="C27" s="48" t="str">
        <x:f>IF(B27=TRUE,A27,"")</x:f>
      </x:c>
      <x:c r="D27" s="48" t="str">
        <x:v>CRP</x:v>
      </x:c>
      <x:c r="E27" s="48" t="str"/>
      <x:c r="F27" s="48" t="str"/>
      <x:c r="G27" s="48" t="str"/>
      <x:c r="H27" s="2"/>
      <x:c r="I27" s="2"/>
      <x:c r="J27" s="2"/>
    </x:row>
    <x:row r="28" ht="22" customHeight="1">
      <x:c r="A28" s="48" t="str">
        <x:v>NFKB1</x:v>
      </x:c>
      <x:c r="B28" s="48" t="b">
        <x:f>IF(A28="","",COUNTIF($D$6:$D$86,A28)&gt;0)</x:f>
        <x:v>1</x:v>
      </x:c>
      <x:c r="C28" s="48" t="str">
        <x:f>IF(B28=TRUE,A28,"")</x:f>
        <x:v>NFKB1</x:v>
      </x:c>
      <x:c r="D28" s="48" t="str">
        <x:v>CST3</x:v>
      </x:c>
      <x:c r="E28" s="48" t="str"/>
      <x:c r="F28" s="48" t="str"/>
      <x:c r="G28" s="48" t="str"/>
      <x:c r="H28" s="2"/>
      <x:c r="I28" s="2"/>
      <x:c r="J28" s="2"/>
    </x:row>
    <x:row r="29" ht="22" customHeight="1">
      <x:c r="A29" s="48" t="str">
        <x:v>NR3C1</x:v>
      </x:c>
      <x:c r="B29" s="48" t="b">
        <x:f>IF(A29="","",COUNTIF($D$6:$D$86,A29)&gt;0)</x:f>
        <x:v>0</x:v>
      </x:c>
      <x:c r="C29" s="48" t="str">
        <x:f>IF(B29=TRUE,A29,"")</x:f>
      </x:c>
      <x:c r="D29" s="48" t="str">
        <x:v>CXCL12</x:v>
      </x:c>
      <x:c r="E29" s="48" t="str"/>
      <x:c r="F29" s="48" t="str"/>
      <x:c r="G29" s="48" t="str"/>
      <x:c r="H29" s="2"/>
      <x:c r="I29" s="2"/>
      <x:c r="J29" s="2"/>
    </x:row>
    <x:row r="30" ht="22" customHeight="1">
      <x:c r="A30" s="48" t="str">
        <x:v>OPRD1</x:v>
      </x:c>
      <x:c r="B30" s="48" t="b">
        <x:f>IF(A30="","",COUNTIF($D$6:$D$86,A30)&gt;0)</x:f>
        <x:v>0</x:v>
      </x:c>
      <x:c r="C30" s="48" t="str">
        <x:f>IF(B30=TRUE,A30,"")</x:f>
      </x:c>
      <x:c r="D30" s="48" t="str">
        <x:v>CXCR4</x:v>
      </x:c>
      <x:c r="E30" s="48" t="str"/>
      <x:c r="F30" s="48" t="str"/>
      <x:c r="G30" s="48" t="str"/>
      <x:c r="H30" s="2"/>
      <x:c r="I30" s="2"/>
      <x:c r="J30" s="2"/>
    </x:row>
    <x:row r="31" ht="22" customHeight="1">
      <x:c r="A31" s="48" t="str">
        <x:v>OPRK1</x:v>
      </x:c>
      <x:c r="B31" s="48" t="b">
        <x:f>IF(A31="","",COUNTIF($D$6:$D$86,A31)&gt;0)</x:f>
        <x:v>0</x:v>
      </x:c>
      <x:c r="C31" s="48" t="str">
        <x:f>IF(B31=TRUE,A31,"")</x:f>
      </x:c>
      <x:c r="D31" s="48" t="str">
        <x:v>CYP2C19</x:v>
      </x:c>
      <x:c r="E31" s="48" t="str"/>
      <x:c r="F31" s="48" t="str"/>
      <x:c r="G31" s="48" t="str"/>
      <x:c r="H31" s="2"/>
      <x:c r="I31" s="2"/>
      <x:c r="J31" s="2"/>
    </x:row>
    <x:row r="32" ht="22" customHeight="1">
      <x:c r="A32" s="48" t="str">
        <x:v>PGR</x:v>
      </x:c>
      <x:c r="B32" s="48" t="b">
        <x:f>IF(A32="","",COUNTIF($D$6:$D$86,A32)&gt;0)</x:f>
        <x:v>0</x:v>
      </x:c>
      <x:c r="C32" s="48" t="str">
        <x:f>IF(B32=TRUE,A32,"")</x:f>
      </x:c>
      <x:c r="D32" s="48" t="str">
        <x:v>ENG</x:v>
      </x:c>
      <x:c r="E32" s="48" t="str"/>
      <x:c r="F32" s="48" t="str"/>
      <x:c r="G32" s="48" t="str"/>
      <x:c r="H32" s="2"/>
      <x:c r="I32" s="2"/>
      <x:c r="J32" s="2"/>
    </x:row>
    <x:row r="33" ht="22" customHeight="1">
      <x:c r="A33" s="48" t="str">
        <x:v>PNLIP</x:v>
      </x:c>
      <x:c r="B33" s="48" t="b">
        <x:f>IF(A33="","",COUNTIF($D$6:$D$86,A33)&gt;0)</x:f>
        <x:v>0</x:v>
      </x:c>
      <x:c r="C33" s="48" t="str">
        <x:f>IF(B33=TRUE,A33,"")</x:f>
      </x:c>
      <x:c r="D33" s="48" t="str">
        <x:v>ENO1</x:v>
      </x:c>
      <x:c r="E33" s="48" t="str"/>
      <x:c r="F33" s="48" t="str"/>
      <x:c r="G33" s="48" t="str"/>
      <x:c r="H33" s="2"/>
      <x:c r="I33" s="2"/>
      <x:c r="J33" s="2"/>
    </x:row>
    <x:row r="34" ht="22" customHeight="1">
      <x:c r="A34" s="48" t="str">
        <x:v>PPIA</x:v>
      </x:c>
      <x:c r="B34" s="48" t="b">
        <x:f>IF(A34="","",COUNTIF($D$6:$D$86,A34)&gt;0)</x:f>
        <x:v>0</x:v>
      </x:c>
      <x:c r="C34" s="48" t="str">
        <x:f>IF(B34=TRUE,A34,"")</x:f>
      </x:c>
      <x:c r="D34" s="48" t="str">
        <x:v>F2</x:v>
      </x:c>
      <x:c r="E34" s="48" t="str"/>
      <x:c r="F34" s="48" t="str"/>
      <x:c r="G34" s="48" t="str"/>
      <x:c r="H34" s="2"/>
      <x:c r="I34" s="2"/>
      <x:c r="J34" s="2"/>
    </x:row>
    <x:row r="35" ht="22" customHeight="1">
      <x:c r="A35" s="48" t="str">
        <x:v>PRKCA</x:v>
      </x:c>
      <x:c r="B35" s="48" t="b">
        <x:f>IF(A35="","",COUNTIF($D$6:$D$86,A35)&gt;0)</x:f>
        <x:v>0</x:v>
      </x:c>
      <x:c r="C35" s="48" t="str">
        <x:f>IF(B35=TRUE,A35,"")</x:f>
      </x:c>
      <x:c r="D35" s="48" t="str">
        <x:v>F5</x:v>
      </x:c>
      <x:c r="E35" s="48" t="str"/>
      <x:c r="F35" s="48" t="str"/>
      <x:c r="G35" s="48" t="str"/>
      <x:c r="H35" s="2"/>
      <x:c r="I35" s="2"/>
      <x:c r="J35" s="2"/>
    </x:row>
    <x:row r="36" ht="22" customHeight="1">
      <x:c r="A36" s="48" t="str">
        <x:v>PTAFR</x:v>
      </x:c>
      <x:c r="B36" s="48" t="b">
        <x:f>IF(A36="","",COUNTIF($D$6:$D$86,A36)&gt;0)</x:f>
        <x:v>0</x:v>
      </x:c>
      <x:c r="C36" s="48" t="str">
        <x:f>IF(B36=TRUE,A36,"")</x:f>
      </x:c>
      <x:c r="D36" s="48" t="str">
        <x:v>FABP4</x:v>
      </x:c>
      <x:c r="E36" s="48" t="str"/>
      <x:c r="F36" s="48" t="str"/>
      <x:c r="G36" s="48" t="str"/>
      <x:c r="H36" s="2"/>
      <x:c r="I36" s="2"/>
      <x:c r="J36" s="2"/>
    </x:row>
    <x:row r="37" ht="22" customHeight="1">
      <x:c r="A37" s="48" t="str">
        <x:v>SF3B3</x:v>
      </x:c>
      <x:c r="B37" s="48" t="b">
        <x:f>IF(A37="","",COUNTIF($D$6:$D$86,A37)&gt;0)</x:f>
        <x:v>0</x:v>
      </x:c>
      <x:c r="C37" s="48" t="str">
        <x:f>IF(B37=TRUE,A37,"")</x:f>
      </x:c>
      <x:c r="D37" s="48" t="str">
        <x:v>GDF15</x:v>
      </x:c>
      <x:c r="E37" s="48" t="str"/>
      <x:c r="F37" s="48" t="str"/>
      <x:c r="G37" s="48" t="str"/>
      <x:c r="H37" s="2"/>
      <x:c r="I37" s="2"/>
      <x:c r="J37" s="2"/>
    </x:row>
    <x:row r="38" ht="22" customHeight="1">
      <x:c r="A38" s="48" t="str">
        <x:v>SHBG</x:v>
      </x:c>
      <x:c r="B38" s="48" t="b">
        <x:f>IF(A38="","",COUNTIF($D$6:$D$86,A38)&gt;0)</x:f>
        <x:v>0</x:v>
      </x:c>
      <x:c r="C38" s="48" t="str">
        <x:f>IF(B38=TRUE,A38,"")</x:f>
      </x:c>
      <x:c r="D38" s="48" t="str">
        <x:v>GFAP</x:v>
      </x:c>
      <x:c r="E38" s="48" t="str"/>
      <x:c r="F38" s="48" t="str"/>
      <x:c r="G38" s="48" t="str"/>
      <x:c r="H38" s="2"/>
      <x:c r="I38" s="2"/>
      <x:c r="J38" s="2"/>
    </x:row>
    <x:row r="39" ht="22" customHeight="1">
      <x:c r="A39" s="48" t="str">
        <x:v>SLC5A2</x:v>
      </x:c>
      <x:c r="B39" s="48" t="b">
        <x:f>IF(A39="","",COUNTIF($D$6:$D$86,A39)&gt;0)</x:f>
        <x:v>0</x:v>
      </x:c>
      <x:c r="C39" s="48" t="str">
        <x:f>IF(B39=TRUE,A39,"")</x:f>
      </x:c>
      <x:c r="D39" s="48" t="str">
        <x:v>HIF1A</x:v>
      </x:c>
      <x:c r="E39" s="48" t="str"/>
      <x:c r="F39" s="48" t="str"/>
      <x:c r="G39" s="48" t="str"/>
      <x:c r="H39" s="2"/>
      <x:c r="I39" s="2"/>
      <x:c r="J39" s="2"/>
    </x:row>
    <x:row r="40" ht="22" customHeight="1">
      <x:c r="A40" s="48" t="str">
        <x:v>SLCO1B1</x:v>
      </x:c>
      <x:c r="B40" s="48" t="b">
        <x:f>IF(A40="","",COUNTIF($D$6:$D$86,A40)&gt;0)</x:f>
        <x:v>0</x:v>
      </x:c>
      <x:c r="C40" s="48" t="str">
        <x:f>IF(B40=TRUE,A40,"")</x:f>
      </x:c>
      <x:c r="D40" s="48" t="str">
        <x:v>HMGB1</x:v>
      </x:c>
      <x:c r="E40" s="48" t="str"/>
      <x:c r="F40" s="48" t="str"/>
      <x:c r="G40" s="48" t="str"/>
      <x:c r="H40" s="2"/>
      <x:c r="I40" s="2"/>
      <x:c r="J40" s="2"/>
    </x:row>
    <x:row r="41" ht="22" customHeight="1">
      <x:c r="A41" s="48" t="str">
        <x:v>SLCO1B3</x:v>
      </x:c>
      <x:c r="B41" s="48" t="b">
        <x:f>IF(A41="","",COUNTIF($D$6:$D$86,A41)&gt;0)</x:f>
        <x:v>0</x:v>
      </x:c>
      <x:c r="C41" s="48" t="str">
        <x:f>IF(B41=TRUE,A41,"")</x:f>
      </x:c>
      <x:c r="D41" s="48" t="str">
        <x:v>HR</x:v>
      </x:c>
      <x:c r="E41" s="48" t="str"/>
      <x:c r="F41" s="48" t="str"/>
      <x:c r="G41" s="48" t="str"/>
      <x:c r="H41" s="2"/>
      <x:c r="I41" s="2"/>
      <x:c r="J41" s="2"/>
    </x:row>
    <x:row r="42" ht="22" customHeight="1">
      <x:c r="A42" s="48" t="str">
        <x:v>SMN1</x:v>
      </x:c>
      <x:c r="B42" s="48" t="b">
        <x:f>IF(A42="","",COUNTIF($D$6:$D$86,A42)&gt;0)</x:f>
        <x:v>0</x:v>
      </x:c>
      <x:c r="C42" s="48" t="str">
        <x:f>IF(B42=TRUE,A42,"")</x:f>
      </x:c>
      <x:c r="D42" s="48" t="str">
        <x:v>HTRA1</x:v>
      </x:c>
      <x:c r="E42" s="48" t="str"/>
      <x:c r="F42" s="48" t="str"/>
      <x:c r="G42" s="48" t="str"/>
      <x:c r="H42" s="2"/>
      <x:c r="I42" s="2"/>
      <x:c r="J42" s="2"/>
    </x:row>
    <x:row r="43" ht="22" customHeight="1">
      <x:c r="A43" s="48" t="str">
        <x:v>SMN2</x:v>
      </x:c>
      <x:c r="B43" s="48" t="b">
        <x:f>IF(A43="","",COUNTIF($D$6:$D$86,A43)&gt;0)</x:f>
        <x:v>0</x:v>
      </x:c>
      <x:c r="C43" s="48" t="str">
        <x:f>IF(B43=TRUE,A43,"")</x:f>
      </x:c>
      <x:c r="D43" s="48" t="str">
        <x:v>ICAM1</x:v>
      </x:c>
      <x:c r="E43" s="48" t="str"/>
      <x:c r="F43" s="48" t="str"/>
      <x:c r="G43" s="48" t="str"/>
      <x:c r="H43" s="2"/>
      <x:c r="I43" s="2"/>
      <x:c r="J43" s="2"/>
    </x:row>
    <x:row r="44" ht="22" customHeight="1">
      <x:c r="A44" s="48" t="str">
        <x:v>THRB</x:v>
      </x:c>
      <x:c r="B44" s="48" t="b">
        <x:f>IF(A44="","",COUNTIF($D$6:$D$86,A44)&gt;0)</x:f>
        <x:v>0</x:v>
      </x:c>
      <x:c r="C44" s="48" t="str">
        <x:f>IF(B44=TRUE,A44,"")</x:f>
      </x:c>
      <x:c r="D44" s="48" t="str">
        <x:v>IGF1</x:v>
      </x:c>
      <x:c r="E44" s="48" t="str"/>
      <x:c r="F44" s="48" t="str"/>
      <x:c r="G44" s="48" t="str"/>
      <x:c r="H44" s="2"/>
      <x:c r="I44" s="2"/>
      <x:c r="J44" s="2"/>
    </x:row>
    <x:row r="45" ht="22" customHeight="1">
      <x:c r="A45" s="48" t="str">
        <x:v>TOP2A</x:v>
      </x:c>
      <x:c r="B45" s="48" t="b">
        <x:f>IF(A45="","",COUNTIF($D$6:$D$86,A45)&gt;0)</x:f>
        <x:v>0</x:v>
      </x:c>
      <x:c r="C45" s="48" t="str">
        <x:f>IF(B45=TRUE,A45,"")</x:f>
      </x:c>
      <x:c r="D45" s="48" t="str">
        <x:v>IL10</x:v>
      </x:c>
      <x:c r="E45" s="48" t="str"/>
      <x:c r="F45" s="48" t="str"/>
      <x:c r="G45" s="48" t="str"/>
      <x:c r="H45" s="2"/>
      <x:c r="I45" s="2"/>
      <x:c r="J45" s="2"/>
    </x:row>
    <x:row r="46" ht="22" customHeight="1">
      <x:c r="A46" s="48" t="str">
        <x:v>TRIM24</x:v>
      </x:c>
      <x:c r="B46" s="48" t="b">
        <x:f>IF(A46="","",COUNTIF($D$6:$D$86,A46)&gt;0)</x:f>
        <x:v>0</x:v>
      </x:c>
      <x:c r="C46" s="48" t="str">
        <x:f>IF(B46=TRUE,A46,"")</x:f>
      </x:c>
      <x:c r="D46" s="48" t="str">
        <x:v>IL1B</x:v>
      </x:c>
      <x:c r="E46" s="48" t="str"/>
      <x:c r="F46" s="48" t="str"/>
      <x:c r="G46" s="48" t="str"/>
      <x:c r="H46" s="2"/>
      <x:c r="I46" s="2"/>
      <x:c r="J46" s="2"/>
    </x:row>
    <x:row r="47" ht="22" customHeight="1">
      <x:c r="A47" s="48" t="str">
        <x:v>TSHR</x:v>
      </x:c>
      <x:c r="B47" s="48" t="b">
        <x:f>IF(A47="","",COUNTIF($D$6:$D$86,A47)&gt;0)</x:f>
        <x:v>0</x:v>
      </x:c>
      <x:c r="C47" s="48" t="str">
        <x:f>IF(B47=TRUE,A47,"")</x:f>
      </x:c>
      <x:c r="D47" s="48" t="str">
        <x:v>IL1RL1</x:v>
      </x:c>
      <x:c r="E47" s="48" t="str"/>
      <x:c r="F47" s="48" t="str"/>
      <x:c r="G47" s="48" t="str"/>
      <x:c r="H47" s="2"/>
      <x:c r="I47" s="2"/>
      <x:c r="J47" s="2"/>
    </x:row>
    <x:row r="48" ht="22" customHeight="1">
      <x:c r="A48" s="48" t="str"/>
      <x:c r="B48" s="48" t="str"/>
      <x:c r="C48" s="48" t="str"/>
      <x:c r="D48" s="48" t="str">
        <x:v>IL33</x:v>
      </x:c>
      <x:c r="E48" s="48" t="str"/>
      <x:c r="F48" s="48" t="str"/>
      <x:c r="G48" s="48" t="str"/>
      <x:c r="H48" s="2"/>
      <x:c r="I48" s="2"/>
      <x:c r="J48" s="2"/>
    </x:row>
    <x:row r="49" ht="22" customHeight="1">
      <x:c r="A49" s="48" t="str"/>
      <x:c r="B49" s="48" t="str"/>
      <x:c r="C49" s="48" t="str"/>
      <x:c r="D49" s="48" t="str">
        <x:v>IL6</x:v>
      </x:c>
      <x:c r="E49" s="48" t="str"/>
      <x:c r="F49" s="48" t="str"/>
      <x:c r="G49" s="48" t="str"/>
      <x:c r="H49" s="2"/>
      <x:c r="I49" s="2"/>
      <x:c r="J49" s="2"/>
    </x:row>
    <x:row r="50" ht="22" customHeight="1">
      <x:c r="A50" s="48" t="str"/>
      <x:c r="B50" s="48" t="str"/>
      <x:c r="C50" s="48" t="str"/>
      <x:c r="D50" s="48" t="str">
        <x:v>ITIH4</x:v>
      </x:c>
      <x:c r="E50" s="48" t="str"/>
      <x:c r="F50" s="48" t="str"/>
      <x:c r="G50" s="48" t="str"/>
      <x:c r="H50" s="2"/>
      <x:c r="I50" s="2"/>
      <x:c r="J50" s="2"/>
    </x:row>
    <x:row r="51" ht="22" customHeight="1">
      <x:c r="A51" s="48" t="str"/>
      <x:c r="B51" s="48" t="str"/>
      <x:c r="C51" s="48" t="str"/>
      <x:c r="D51" s="48" t="str">
        <x:v>JAK2</x:v>
      </x:c>
      <x:c r="E51" s="48" t="str"/>
      <x:c r="F51" s="48" t="str"/>
      <x:c r="G51" s="48" t="str"/>
      <x:c r="H51" s="2"/>
      <x:c r="I51" s="2"/>
      <x:c r="J51" s="2"/>
    </x:row>
    <x:row r="52" ht="22" customHeight="1">
      <x:c r="A52" s="48" t="str"/>
      <x:c r="B52" s="48" t="str"/>
      <x:c r="C52" s="48" t="str"/>
      <x:c r="D52" s="48" t="str">
        <x:v>KDR</x:v>
      </x:c>
      <x:c r="E52" s="48" t="str"/>
      <x:c r="F52" s="48" t="str"/>
      <x:c r="G52" s="48" t="str"/>
      <x:c r="H52" s="2"/>
      <x:c r="I52" s="2"/>
      <x:c r="J52" s="2"/>
    </x:row>
    <x:row r="53" ht="22" customHeight="1">
      <x:c r="A53" s="48" t="str"/>
      <x:c r="B53" s="48" t="str"/>
      <x:c r="C53" s="48" t="str"/>
      <x:c r="D53" s="48" t="str">
        <x:v>LGALS3</x:v>
      </x:c>
      <x:c r="E53" s="48" t="str"/>
      <x:c r="F53" s="48" t="str"/>
      <x:c r="G53" s="48" t="str"/>
      <x:c r="H53" s="2"/>
      <x:c r="I53" s="2"/>
      <x:c r="J53" s="2"/>
    </x:row>
    <x:row r="54" ht="22" customHeight="1">
      <x:c r="A54" s="48" t="str"/>
      <x:c r="B54" s="48" t="str"/>
      <x:c r="C54" s="48" t="str"/>
      <x:c r="D54" s="48" t="str">
        <x:v>MBL2</x:v>
      </x:c>
      <x:c r="E54" s="48" t="str"/>
      <x:c r="F54" s="48" t="str"/>
      <x:c r="G54" s="48" t="str"/>
      <x:c r="H54" s="2"/>
      <x:c r="I54" s="2"/>
      <x:c r="J54" s="2"/>
    </x:row>
    <x:row r="55" ht="22" customHeight="1">
      <x:c r="A55" s="48" t="str"/>
      <x:c r="B55" s="48" t="str"/>
      <x:c r="C55" s="48" t="str"/>
      <x:c r="D55" s="48" t="str">
        <x:v>MBP</x:v>
      </x:c>
      <x:c r="E55" s="48" t="str"/>
      <x:c r="F55" s="48" t="str"/>
      <x:c r="G55" s="48" t="str"/>
      <x:c r="H55" s="2"/>
      <x:c r="I55" s="2"/>
      <x:c r="J55" s="2"/>
    </x:row>
    <x:row r="56" ht="22" customHeight="1">
      <x:c r="A56" s="48" t="str"/>
      <x:c r="B56" s="48" t="str"/>
      <x:c r="C56" s="48" t="str"/>
      <x:c r="D56" s="48" t="str">
        <x:v>MMP2</x:v>
      </x:c>
      <x:c r="E56" s="48" t="str"/>
      <x:c r="F56" s="48" t="str"/>
      <x:c r="G56" s="48" t="str"/>
      <x:c r="H56" s="2"/>
      <x:c r="I56" s="2"/>
      <x:c r="J56" s="2"/>
    </x:row>
    <x:row r="57" ht="22" customHeight="1">
      <x:c r="A57" s="48" t="str"/>
      <x:c r="B57" s="48" t="str"/>
      <x:c r="C57" s="48" t="str"/>
      <x:c r="D57" s="48" t="str">
        <x:v>MMP9</x:v>
      </x:c>
      <x:c r="E57" s="48" t="str"/>
      <x:c r="F57" s="48" t="str"/>
      <x:c r="G57" s="48" t="str"/>
      <x:c r="H57" s="2"/>
      <x:c r="I57" s="2"/>
      <x:c r="J57" s="2"/>
    </x:row>
    <x:row r="58" ht="22" customHeight="1">
      <x:c r="A58" s="48" t="str"/>
      <x:c r="B58" s="48" t="str"/>
      <x:c r="C58" s="48" t="str"/>
      <x:c r="D58" s="48" t="str">
        <x:v>MPO</x:v>
      </x:c>
      <x:c r="E58" s="48" t="str"/>
      <x:c r="F58" s="48" t="str"/>
      <x:c r="G58" s="48" t="str"/>
      <x:c r="H58" s="2"/>
      <x:c r="I58" s="2"/>
      <x:c r="J58" s="2"/>
    </x:row>
    <x:row r="59" ht="22" customHeight="1">
      <x:c r="A59" s="48" t="str"/>
      <x:c r="B59" s="48" t="str"/>
      <x:c r="C59" s="48" t="str"/>
      <x:c r="D59" s="48" t="str">
        <x:v>MTHFR</x:v>
      </x:c>
      <x:c r="E59" s="48" t="str"/>
      <x:c r="F59" s="48" t="str"/>
      <x:c r="G59" s="48" t="str"/>
      <x:c r="H59" s="2"/>
      <x:c r="I59" s="2"/>
      <x:c r="J59" s="2"/>
    </x:row>
    <x:row r="60" ht="22" customHeight="1">
      <x:c r="A60" s="48" t="str"/>
      <x:c r="B60" s="48" t="str"/>
      <x:c r="C60" s="48" t="str"/>
      <x:c r="D60" s="48" t="str">
        <x:v>NAMPT</x:v>
      </x:c>
      <x:c r="E60" s="48" t="str"/>
      <x:c r="F60" s="48" t="str"/>
      <x:c r="G60" s="48" t="str"/>
      <x:c r="H60" s="2"/>
      <x:c r="I60" s="2"/>
      <x:c r="J60" s="2"/>
    </x:row>
    <x:row r="61" ht="22" customHeight="1">
      <x:c r="A61" s="48" t="str"/>
      <x:c r="B61" s="48" t="str"/>
      <x:c r="C61" s="48" t="str"/>
      <x:c r="D61" s="48" t="str">
        <x:v>NFKB1</x:v>
      </x:c>
      <x:c r="E61" s="48" t="str"/>
      <x:c r="F61" s="48" t="str"/>
      <x:c r="G61" s="48" t="str"/>
      <x:c r="H61" s="2"/>
      <x:c r="I61" s="2"/>
      <x:c r="J61" s="2"/>
    </x:row>
    <x:row r="62" ht="22" customHeight="1">
      <x:c r="A62" s="48" t="str"/>
      <x:c r="B62" s="48" t="str"/>
      <x:c r="C62" s="48" t="str"/>
      <x:c r="D62" s="48" t="str">
        <x:v>NGFR</x:v>
      </x:c>
      <x:c r="E62" s="48" t="str"/>
      <x:c r="F62" s="48" t="str"/>
      <x:c r="G62" s="48" t="str"/>
      <x:c r="H62" s="2"/>
      <x:c r="I62" s="2"/>
      <x:c r="J62" s="2"/>
    </x:row>
    <x:row r="63" ht="22" customHeight="1">
      <x:c r="A63" s="48" t="str"/>
      <x:c r="B63" s="48" t="str"/>
      <x:c r="C63" s="48" t="str"/>
      <x:c r="D63" s="48" t="str">
        <x:v>NOS3</x:v>
      </x:c>
      <x:c r="E63" s="48" t="str"/>
      <x:c r="F63" s="48" t="str"/>
      <x:c r="G63" s="48" t="str"/>
      <x:c r="H63" s="2"/>
      <x:c r="I63" s="2"/>
      <x:c r="J63" s="2"/>
    </x:row>
    <x:row r="64" ht="22" customHeight="1">
      <x:c r="A64" s="48" t="str"/>
      <x:c r="B64" s="48" t="str"/>
      <x:c r="C64" s="48" t="str"/>
      <x:c r="D64" s="48" t="str">
        <x:v>NOTCH3</x:v>
      </x:c>
      <x:c r="E64" s="48" t="str"/>
      <x:c r="F64" s="48" t="str"/>
      <x:c r="G64" s="48" t="str"/>
      <x:c r="H64" s="2"/>
      <x:c r="I64" s="2"/>
      <x:c r="J64" s="2"/>
    </x:row>
    <x:row r="65" ht="22" customHeight="1">
      <x:c r="A65" s="48" t="str"/>
      <x:c r="B65" s="48" t="str"/>
      <x:c r="C65" s="48" t="str"/>
      <x:c r="D65" s="48" t="str">
        <x:v>NPPB</x:v>
      </x:c>
      <x:c r="E65" s="48" t="str"/>
      <x:c r="F65" s="48" t="str"/>
      <x:c r="G65" s="48" t="str"/>
      <x:c r="H65" s="2"/>
      <x:c r="I65" s="2"/>
      <x:c r="J65" s="2"/>
    </x:row>
    <x:row r="66" ht="22" customHeight="1">
      <x:c r="A66" s="48" t="str"/>
      <x:c r="B66" s="48" t="str"/>
      <x:c r="C66" s="48" t="str"/>
      <x:c r="D66" s="48" t="str">
        <x:v>OLR1</x:v>
      </x:c>
      <x:c r="E66" s="48" t="str"/>
      <x:c r="F66" s="48" t="str"/>
      <x:c r="G66" s="48" t="str"/>
      <x:c r="H66" s="2"/>
      <x:c r="I66" s="2"/>
      <x:c r="J66" s="2"/>
    </x:row>
    <x:row r="67" ht="22" customHeight="1">
      <x:c r="A67" s="48" t="str"/>
      <x:c r="B67" s="48" t="str"/>
      <x:c r="C67" s="48" t="str"/>
      <x:c r="D67" s="48" t="str">
        <x:v>PANX1</x:v>
      </x:c>
      <x:c r="E67" s="48" t="str"/>
      <x:c r="F67" s="48" t="str"/>
      <x:c r="G67" s="48" t="str"/>
      <x:c r="H67" s="2"/>
      <x:c r="I67" s="2"/>
      <x:c r="J67" s="2"/>
    </x:row>
    <x:row r="68" ht="22" customHeight="1">
      <x:c r="A68" s="48" t="str"/>
      <x:c r="B68" s="48" t="str"/>
      <x:c r="C68" s="48" t="str"/>
      <x:c r="D68" s="48" t="str">
        <x:v>PCSK9</x:v>
      </x:c>
      <x:c r="E68" s="48" t="str"/>
      <x:c r="F68" s="48" t="str"/>
      <x:c r="G68" s="48" t="str"/>
      <x:c r="H68" s="2"/>
      <x:c r="I68" s="2"/>
      <x:c r="J68" s="2"/>
    </x:row>
    <x:row r="69" ht="22" customHeight="1">
      <x:c r="A69" s="48" t="str"/>
      <x:c r="B69" s="48" t="str"/>
      <x:c r="C69" s="48" t="str"/>
      <x:c r="D69" s="48" t="str">
        <x:v>PLA2G7</x:v>
      </x:c>
      <x:c r="E69" s="48" t="str"/>
      <x:c r="F69" s="48" t="str"/>
      <x:c r="G69" s="48" t="str"/>
      <x:c r="H69" s="2"/>
      <x:c r="I69" s="2"/>
      <x:c r="J69" s="2"/>
    </x:row>
    <x:row r="70" ht="22" customHeight="1">
      <x:c r="A70" s="48" t="str"/>
      <x:c r="B70" s="48" t="str"/>
      <x:c r="C70" s="48" t="str"/>
      <x:c r="D70" s="48" t="str">
        <x:v>PLAT</x:v>
      </x:c>
      <x:c r="E70" s="48" t="str"/>
      <x:c r="F70" s="48" t="str"/>
      <x:c r="G70" s="48" t="str"/>
      <x:c r="H70" s="2"/>
      <x:c r="I70" s="2"/>
      <x:c r="J70" s="2"/>
    </x:row>
    <x:row r="71" ht="22" customHeight="1">
      <x:c r="A71" s="48" t="str"/>
      <x:c r="B71" s="48" t="str"/>
      <x:c r="C71" s="48" t="str"/>
      <x:c r="D71" s="48" t="str">
        <x:v>PLAU</x:v>
      </x:c>
      <x:c r="E71" s="48" t="str"/>
      <x:c r="F71" s="48" t="str"/>
      <x:c r="G71" s="48" t="str"/>
      <x:c r="H71" s="2"/>
      <x:c r="I71" s="2"/>
      <x:c r="J71" s="2"/>
    </x:row>
    <x:row r="72" ht="22" customHeight="1">
      <x:c r="A72" s="48" t="str"/>
      <x:c r="B72" s="48" t="str"/>
      <x:c r="C72" s="48" t="str"/>
      <x:c r="D72" s="48" t="str">
        <x:v>PON1</x:v>
      </x:c>
      <x:c r="E72" s="48" t="str"/>
      <x:c r="F72" s="48" t="str"/>
      <x:c r="G72" s="48" t="str"/>
      <x:c r="H72" s="2"/>
      <x:c r="I72" s="2"/>
      <x:c r="J72" s="2"/>
    </x:row>
    <x:row r="73" ht="22" customHeight="1">
      <x:c r="A73" s="48" t="str"/>
      <x:c r="B73" s="48" t="str"/>
      <x:c r="C73" s="48" t="str"/>
      <x:c r="D73" s="48" t="str">
        <x:v>PTGS2</x:v>
      </x:c>
      <x:c r="E73" s="48" t="str"/>
      <x:c r="F73" s="48" t="str"/>
      <x:c r="G73" s="48" t="str"/>
      <x:c r="H73" s="2"/>
      <x:c r="I73" s="2"/>
      <x:c r="J73" s="2"/>
    </x:row>
    <x:row r="74" ht="22" customHeight="1">
      <x:c r="A74" s="48" t="str"/>
      <x:c r="B74" s="48" t="str"/>
      <x:c r="C74" s="48" t="str"/>
      <x:c r="D74" s="48" t="str">
        <x:v>RBP4</x:v>
      </x:c>
      <x:c r="E74" s="48" t="str"/>
      <x:c r="F74" s="48" t="str"/>
      <x:c r="G74" s="48" t="str"/>
      <x:c r="H74" s="2"/>
      <x:c r="I74" s="2"/>
      <x:c r="J74" s="2"/>
    </x:row>
    <x:row r="75" ht="22" customHeight="1">
      <x:c r="A75" s="48" t="str"/>
      <x:c r="B75" s="48" t="str"/>
      <x:c r="C75" s="48" t="str"/>
      <x:c r="D75" s="48" t="str">
        <x:v>RETN</x:v>
      </x:c>
      <x:c r="E75" s="48" t="str"/>
      <x:c r="F75" s="48" t="str"/>
      <x:c r="G75" s="48" t="str"/>
      <x:c r="H75" s="2"/>
      <x:c r="I75" s="2"/>
      <x:c r="J75" s="2"/>
    </x:row>
    <x:row r="76" ht="22" customHeight="1">
      <x:c r="A76" s="48" t="str"/>
      <x:c r="B76" s="48" t="str"/>
      <x:c r="C76" s="48" t="str"/>
      <x:c r="D76" s="48" t="str">
        <x:v>S100B</x:v>
      </x:c>
      <x:c r="E76" s="48" t="str"/>
      <x:c r="F76" s="48" t="str"/>
      <x:c r="G76" s="48" t="str"/>
      <x:c r="H76" s="2"/>
      <x:c r="I76" s="2"/>
      <x:c r="J76" s="2"/>
    </x:row>
    <x:row r="77" ht="22" customHeight="1">
      <x:c r="A77" s="48" t="str"/>
      <x:c r="B77" s="48" t="str"/>
      <x:c r="C77" s="48" t="str"/>
      <x:c r="D77" s="48" t="str">
        <x:v>SAA1</x:v>
      </x:c>
      <x:c r="E77" s="48" t="str"/>
      <x:c r="F77" s="48" t="str"/>
      <x:c r="G77" s="48" t="str"/>
      <x:c r="H77" s="2"/>
      <x:c r="I77" s="2"/>
      <x:c r="J77" s="2"/>
    </x:row>
    <x:row r="78" ht="22" customHeight="1">
      <x:c r="A78" s="48" t="str"/>
      <x:c r="B78" s="48" t="str"/>
      <x:c r="C78" s="48" t="str"/>
      <x:c r="D78" s="48" t="str">
        <x:v>SERPINE1</x:v>
      </x:c>
      <x:c r="E78" s="48" t="str"/>
      <x:c r="F78" s="48" t="str"/>
      <x:c r="G78" s="48" t="str"/>
      <x:c r="H78" s="2"/>
      <x:c r="I78" s="2"/>
      <x:c r="J78" s="2"/>
    </x:row>
    <x:row r="79" ht="22" customHeight="1">
      <x:c r="A79" s="48" t="str"/>
      <x:c r="B79" s="48" t="str"/>
      <x:c r="C79" s="48" t="str"/>
      <x:c r="D79" s="48" t="str">
        <x:v>TJP1</x:v>
      </x:c>
      <x:c r="E79" s="48" t="str"/>
      <x:c r="F79" s="48" t="str"/>
      <x:c r="G79" s="48" t="str"/>
      <x:c r="H79" s="2"/>
      <x:c r="I79" s="2"/>
      <x:c r="J79" s="2"/>
    </x:row>
    <x:row r="80" ht="22" customHeight="1">
      <x:c r="A80" s="48" t="str"/>
      <x:c r="B80" s="48" t="str"/>
      <x:c r="C80" s="48" t="str"/>
      <x:c r="D80" s="48" t="str">
        <x:v>TLR4</x:v>
      </x:c>
      <x:c r="E80" s="48" t="str"/>
      <x:c r="F80" s="48" t="str"/>
      <x:c r="G80" s="48" t="str"/>
      <x:c r="H80" s="2"/>
      <x:c r="I80" s="2"/>
      <x:c r="J80" s="2"/>
    </x:row>
    <x:row r="81" ht="22" customHeight="1">
      <x:c r="A81" s="48" t="str"/>
      <x:c r="B81" s="48" t="str"/>
      <x:c r="C81" s="48" t="str"/>
      <x:c r="D81" s="48" t="str">
        <x:v>TNF</x:v>
      </x:c>
      <x:c r="E81" s="48" t="str"/>
      <x:c r="F81" s="48" t="str"/>
      <x:c r="G81" s="48" t="str"/>
      <x:c r="H81" s="2"/>
      <x:c r="I81" s="2"/>
      <x:c r="J81" s="2"/>
    </x:row>
    <x:row r="82" ht="22" customHeight="1">
      <x:c r="A82" s="48" t="str"/>
      <x:c r="B82" s="48" t="str"/>
      <x:c r="C82" s="48" t="str"/>
      <x:c r="D82" s="48" t="str">
        <x:v>TNNI3</x:v>
      </x:c>
      <x:c r="E82" s="48" t="str"/>
      <x:c r="F82" s="48" t="str"/>
      <x:c r="G82" s="48" t="str"/>
      <x:c r="H82" s="2"/>
      <x:c r="I82" s="2"/>
      <x:c r="J82" s="2"/>
    </x:row>
    <x:row r="83" ht="22" customHeight="1">
      <x:c r="A83" s="48" t="str"/>
      <x:c r="B83" s="48" t="str"/>
      <x:c r="C83" s="48" t="str"/>
      <x:c r="D83" s="48" t="str">
        <x:v>TNNT2</x:v>
      </x:c>
      <x:c r="E83" s="48" t="str"/>
      <x:c r="F83" s="48" t="str"/>
      <x:c r="G83" s="48" t="str"/>
      <x:c r="H83" s="2"/>
      <x:c r="I83" s="2"/>
      <x:c r="J83" s="2"/>
    </x:row>
    <x:row r="84" ht="22" customHeight="1">
      <x:c r="A84" s="48" t="str"/>
      <x:c r="B84" s="48" t="str"/>
      <x:c r="C84" s="48" t="str"/>
      <x:c r="D84" s="48" t="str">
        <x:v>TREM2</x:v>
      </x:c>
      <x:c r="E84" s="48" t="str"/>
      <x:c r="F84" s="48" t="str"/>
      <x:c r="G84" s="48" t="str"/>
      <x:c r="H84" s="2"/>
      <x:c r="I84" s="2"/>
      <x:c r="J84" s="2"/>
    </x:row>
    <x:row r="85" ht="22" customHeight="1">
      <x:c r="A85" s="48" t="str"/>
      <x:c r="B85" s="48" t="str"/>
      <x:c r="C85" s="48" t="str"/>
      <x:c r="D85" s="48" t="str">
        <x:v>VEGFA</x:v>
      </x:c>
      <x:c r="E85" s="48" t="str"/>
      <x:c r="F85" s="48" t="str"/>
      <x:c r="G85" s="48" t="str"/>
      <x:c r="H85" s="2"/>
      <x:c r="I85" s="2"/>
      <x:c r="J85" s="2"/>
    </x:row>
    <x:row r="86" ht="22" customHeight="1">
      <x:c r="A86" s="49" t="str"/>
      <x:c r="B86" s="49" t="str"/>
      <x:c r="C86" s="49" t="str"/>
      <x:c r="D86" s="49" t="str">
        <x:v>VWF</x:v>
      </x:c>
      <x:c r="E86" s="49" t="str"/>
      <x:c r="F86" s="49" t="str"/>
      <x:c r="G86" s="49" t="str"/>
      <x:c r="H86" s="2"/>
      <x:c r="I86" s="2"/>
      <x:c r="J86" s="2"/>
    </x:row>
  </x:sheetData>
  <x:mergeCells>
    <x:mergeCell ref="A1:J1"/>
    <x:mergeCell ref="A2:J2"/>
  </x:mergeCells>
  <x:conditionalFormatting sqref="I5:I5">
    <x:cfRule type="containsText" dxfId="6" priority="1" operator="containsText" text="PASS"/>
    <x:cfRule type="containsText" dxfId="7" priority="2" operator="containsText" text="FAIL"/>
  </x:conditionalFormatting>
  <x:conditionalFormatting sqref="B6:B47">
    <x:cfRule type="cellIs" dxfId="8" priority="3" operator="equal">
      <x:formula>TRUE</x:formula>
    </x:cfRule>
  </x:conditionalFormatting>
  <x:conditionalFormatting sqref="F6:F7">
    <x:cfRule type="cellIs" dxfId="9" priority="4" operator="equal">
      <x:formula>TRUE</x:formula>
    </x:cfRule>
  </x:conditionalFormatting>
  <x:conditionalFormatting sqref="G6:G7">
    <x:cfRule type="containsText" dxfId="10" priority="5" operator="containsText" text="PASS"/>
    <x:cfRule type="containsText" dxfId="11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7bdd09972724c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9" hidden="0" customWidth="1"/>
    <x:col min="4" max="4" width="21" hidden="0" customWidth="1"/>
    <x:col min="5" max="5" width="28" hidden="0" customWidth="1"/>
    <x:col min="6" max="6" width="32" hidden="0" customWidth="1"/>
    <x:col min="7" max="7" width="14" hidden="0" customWidth="1"/>
    <x:col min="8" max="8" width="24" hidden="0" customWidth="1"/>
    <x:col min="9" max="9" width="16" hidden="0" customWidth="1"/>
    <x:col min="10" max="10" width="38" hidden="0" customWidth="1"/>
  </x:cols>
  <x:sheetData>
    <x:row r="1" ht="31" customHeight="1">
      <x:c r="A1" s="5" t="str">
        <x:v>L3_MediumExtended — 公式审计与静态交集互证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7" customHeight="1">
      <x:c r="A2" s="9" t="str">
        <x:v>Bilobalide Extended_171 ∩ AIS MediumExtended_176；中等扩展敏感性分析；可作为后续PPI输入候选，但不是Hub基因。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3" customHeight="1">
      <x:c r="A3" s="13" t="str">
        <x:v>Drug n=171</x:v>
      </x:c>
      <x:c r="B3" s="13" t="str">
        <x:v>Bilobalide Extended_171</x:v>
      </x:c>
      <x:c r="C3" s="13" t="str">
        <x:v>AIS n=176</x:v>
      </x:c>
      <x:c r="D3" s="13" t="str">
        <x:v>AIS MediumExtended_176</x:v>
      </x:c>
      <x:c r="E3" s="13" t="str">
        <x:v>Verified n=6</x:v>
      </x:c>
      <x:c r="F3" s="13" t="str">
        <x:v>F2;HIF1A;NFE2L2;NFKB1;SIRT1;TNF</x:v>
      </x:c>
      <x:c r="G3" s="13" t="str">
        <x:v>程序静态结果</x:v>
      </x:c>
      <x:c r="H3" s="33" t="str">
        <x:v>Row-formula count snapshot</x:v>
      </x:c>
      <x:c r="I3" s="36" t="n">
        <x:v>6</x:v>
      </x:c>
      <x:c r="J3" s="26" t="str">
        <x:v>COUNTIF(B6:B176,TRUE)</x:v>
      </x:c>
    </x:row>
    <x:row r="4" ht="23" customHeight="1">
      <x:c r="A4" s="2"/>
      <x:c r="B4" s="2"/>
      <x:c r="C4" s="2"/>
      <x:c r="D4" s="2"/>
      <x:c r="E4" s="2"/>
      <x:c r="F4" s="2"/>
      <x:c r="G4" s="2"/>
      <x:c r="H4" s="34" t="str">
        <x:v>Static verified count</x:v>
      </x:c>
      <x:c r="I4" s="37" t="n">
        <x:v>6</x:v>
      </x:c>
      <x:c r="J4" s="29" t="str">
        <x:v>COUNTIF(E6:E181,"?*")</x:v>
      </x:c>
    </x:row>
    <x:row r="5" ht="34" customHeight="1">
      <x:c r="A5" s="44" t="str">
        <x:v>Drug_Gene</x:v>
      </x:c>
      <x:c r="B5" s="45" t="str">
        <x:v>In_Disease_Set</x:v>
      </x:c>
      <x:c r="C5" s="45" t="str">
        <x:v>Formula_Intersection_Gene</x:v>
      </x:c>
      <x:c r="D5" s="45" t="str">
        <x:v>Disease_Gene</x:v>
      </x:c>
      <x:c r="E5" s="45" t="str">
        <x:v>Verified_Intersection_Gene</x:v>
      </x:c>
      <x:c r="F5" s="45" t="str">
        <x:v>Verified_Gene_In_Formula_Result</x:v>
      </x:c>
      <x:c r="G5" s="46" t="str">
        <x:v>Row_QC</x:v>
      </x:c>
      <x:c r="H5" s="35" t="str">
        <x:v>Row audit QC snapshot</x:v>
      </x:c>
      <x:c r="I5" s="31" t="str">
        <x:v>PASS</x:v>
      </x:c>
      <x:c r="J5" s="32" t="str">
        <x:v>逐行B/C/F/G为活公式；本区为冻结快照</x:v>
      </x:c>
    </x:row>
    <x:row r="6" ht="22" customHeight="1">
      <x:c r="A6" s="47" t="str">
        <x:v>ABCB11</x:v>
      </x:c>
      <x:c r="B6" s="47" t="b">
        <x:f>IF(A6="","",COUNTIF($D$6:$D$181,A6)&gt;0)</x:f>
        <x:v>0</x:v>
      </x:c>
      <x:c r="C6" s="47" t="str">
        <x:f>IF(B6=TRUE,A6,"")</x:f>
      </x:c>
      <x:c r="D6" s="47" t="str">
        <x:v>A2M</x:v>
      </x:c>
      <x:c r="E6" s="47" t="str">
        <x:v>F2</x:v>
      </x:c>
      <x:c r="F6" s="47" t="b">
        <x:f>IF(E6="","",COUNTIF($C$6:$C$176,E6)&gt;0)</x:f>
        <x:v>1</x:v>
      </x:c>
      <x:c r="G6" s="47" t="str">
        <x:f>IF(E6="","",IF(F6=TRUE,"PASS","FAIL"))</x:f>
        <x:v>PASS</x:v>
      </x:c>
      <x:c r="H6" s="2"/>
      <x:c r="I6" s="2"/>
      <x:c r="J6" s="2"/>
    </x:row>
    <x:row r="7" ht="22" customHeight="1">
      <x:c r="A7" s="48" t="str">
        <x:v>ABCC9</x:v>
      </x:c>
      <x:c r="B7" s="48" t="b">
        <x:f>IF(A7="","",COUNTIF($D$6:$D$181,A7)&gt;0)</x:f>
        <x:v>0</x:v>
      </x:c>
      <x:c r="C7" s="48" t="str">
        <x:f>IF(B7=TRUE,A7,"")</x:f>
      </x:c>
      <x:c r="D7" s="48" t="str">
        <x:v>ABCB1</x:v>
      </x:c>
      <x:c r="E7" s="48" t="str">
        <x:v>HIF1A</x:v>
      </x:c>
      <x:c r="F7" s="48" t="b">
        <x:f>IF(E7="","",COUNTIF($C$6:$C$176,E7)&gt;0)</x:f>
        <x:v>1</x:v>
      </x:c>
      <x:c r="G7" s="48" t="str">
        <x:f>IF(E7="","",IF(F7=TRUE,"PASS","FAIL"))</x:f>
        <x:v>PASS</x:v>
      </x:c>
      <x:c r="H7" s="2"/>
      <x:c r="I7" s="2"/>
      <x:c r="J7" s="2"/>
    </x:row>
    <x:row r="8" ht="22" customHeight="1">
      <x:c r="A8" s="48" t="str">
        <x:v>ACACA</x:v>
      </x:c>
      <x:c r="B8" s="48" t="b">
        <x:f>IF(A8="","",COUNTIF($D$6:$D$181,A8)&gt;0)</x:f>
        <x:v>0</x:v>
      </x:c>
      <x:c r="C8" s="48" t="str">
        <x:f>IF(B8=TRUE,A8,"")</x:f>
      </x:c>
      <x:c r="D8" s="48" t="str">
        <x:v>ABCC8</x:v>
      </x:c>
      <x:c r="E8" s="48" t="str">
        <x:v>NFE2L2</x:v>
      </x:c>
      <x:c r="F8" s="48" t="b">
        <x:f>IF(E8="","",COUNTIF($C$6:$C$176,E8)&gt;0)</x:f>
        <x:v>1</x:v>
      </x:c>
      <x:c r="G8" s="48" t="str">
        <x:f>IF(E8="","",IF(F8=TRUE,"PASS","FAIL"))</x:f>
        <x:v>PASS</x:v>
      </x:c>
      <x:c r="H8" s="2"/>
      <x:c r="I8" s="2"/>
      <x:c r="J8" s="2"/>
    </x:row>
    <x:row r="9" ht="22" customHeight="1">
      <x:c r="A9" s="48" t="str">
        <x:v>ACACB</x:v>
      </x:c>
      <x:c r="B9" s="48" t="b">
        <x:f>IF(A9="","",COUNTIF($D$6:$D$181,A9)&gt;0)</x:f>
        <x:v>0</x:v>
      </x:c>
      <x:c r="C9" s="48" t="str">
        <x:f>IF(B9=TRUE,A9,"")</x:f>
      </x:c>
      <x:c r="D9" s="48" t="str">
        <x:v>ACE</x:v>
      </x:c>
      <x:c r="E9" s="48" t="str">
        <x:v>NFKB1</x:v>
      </x:c>
      <x:c r="F9" s="48" t="b">
        <x:f>IF(E9="","",COUNTIF($C$6:$C$176,E9)&gt;0)</x:f>
        <x:v>1</x:v>
      </x:c>
      <x:c r="G9" s="48" t="str">
        <x:f>IF(E9="","",IF(F9=TRUE,"PASS","FAIL"))</x:f>
        <x:v>PASS</x:v>
      </x:c>
      <x:c r="H9" s="2"/>
      <x:c r="I9" s="2"/>
      <x:c r="J9" s="2"/>
    </x:row>
    <x:row r="10" ht="22" customHeight="1">
      <x:c r="A10" s="48" t="str">
        <x:v>ACHE</x:v>
      </x:c>
      <x:c r="B10" s="48" t="b">
        <x:f>IF(A10="","",COUNTIF($D$6:$D$181,A10)&gt;0)</x:f>
        <x:v>0</x:v>
      </x:c>
      <x:c r="C10" s="48" t="str">
        <x:f>IF(B10=TRUE,A10,"")</x:f>
      </x:c>
      <x:c r="D10" s="48" t="str">
        <x:v>ACE2</x:v>
      </x:c>
      <x:c r="E10" s="48" t="str">
        <x:v>SIRT1</x:v>
      </x:c>
      <x:c r="F10" s="48" t="b">
        <x:f>IF(E10="","",COUNTIF($C$6:$C$176,E10)&gt;0)</x:f>
        <x:v>1</x:v>
      </x:c>
      <x:c r="G10" s="48" t="str">
        <x:f>IF(E10="","",IF(F10=TRUE,"PASS","FAIL"))</x:f>
        <x:v>PASS</x:v>
      </x:c>
      <x:c r="H10" s="2"/>
      <x:c r="I10" s="2"/>
      <x:c r="J10" s="2"/>
    </x:row>
    <x:row r="11" ht="22" customHeight="1">
      <x:c r="A11" s="48" t="str">
        <x:v>ADK</x:v>
      </x:c>
      <x:c r="B11" s="48" t="b">
        <x:f>IF(A11="","",COUNTIF($D$6:$D$181,A11)&gt;0)</x:f>
        <x:v>0</x:v>
      </x:c>
      <x:c r="C11" s="48" t="str">
        <x:f>IF(B11=TRUE,A11,"")</x:f>
      </x:c>
      <x:c r="D11" s="48" t="str">
        <x:v>ACSL4</x:v>
      </x:c>
      <x:c r="E11" s="48" t="str">
        <x:v>TNF</x:v>
      </x:c>
      <x:c r="F11" s="48" t="b">
        <x:f>IF(E11="","",COUNTIF($C$6:$C$176,E11)&gt;0)</x:f>
        <x:v>1</x:v>
      </x:c>
      <x:c r="G11" s="48" t="str">
        <x:f>IF(E11="","",IF(F11=TRUE,"PASS","FAIL"))</x:f>
        <x:v>PASS</x:v>
      </x:c>
      <x:c r="H11" s="2"/>
      <x:c r="I11" s="2"/>
      <x:c r="J11" s="2"/>
    </x:row>
    <x:row r="12" ht="22" customHeight="1">
      <x:c r="A12" s="48" t="str">
        <x:v>ADORA2A</x:v>
      </x:c>
      <x:c r="B12" s="48" t="b">
        <x:f>IF(A12="","",COUNTIF($D$6:$D$181,A12)&gt;0)</x:f>
        <x:v>0</x:v>
      </x:c>
      <x:c r="C12" s="48" t="str">
        <x:f>IF(B12=TRUE,A12,"")</x:f>
      </x:c>
      <x:c r="D12" s="48" t="str">
        <x:v>ACTA2</x:v>
      </x:c>
      <x:c r="E12" s="48" t="str"/>
      <x:c r="F12" s="48" t="str"/>
      <x:c r="G12" s="48" t="str"/>
      <x:c r="H12" s="2"/>
      <x:c r="I12" s="2"/>
      <x:c r="J12" s="2"/>
    </x:row>
    <x:row r="13" ht="22" customHeight="1">
      <x:c r="A13" s="48" t="str">
        <x:v>AKR1B1</x:v>
      </x:c>
      <x:c r="B13" s="48" t="b">
        <x:f>IF(A13="","",COUNTIF($D$6:$D$181,A13)&gt;0)</x:f>
        <x:v>0</x:v>
      </x:c>
      <x:c r="C13" s="48" t="str">
        <x:f>IF(B13=TRUE,A13,"")</x:f>
      </x:c>
      <x:c r="D13" s="48" t="str">
        <x:v>ADA2</x:v>
      </x:c>
      <x:c r="E13" s="48" t="str"/>
      <x:c r="F13" s="48" t="str"/>
      <x:c r="G13" s="48" t="str"/>
      <x:c r="H13" s="2"/>
      <x:c r="I13" s="2"/>
      <x:c r="J13" s="2"/>
    </x:row>
    <x:row r="14" ht="22" customHeight="1">
      <x:c r="A14" s="48" t="str">
        <x:v>AKR1C3</x:v>
      </x:c>
      <x:c r="B14" s="48" t="b">
        <x:f>IF(A14="","",COUNTIF($D$6:$D$181,A14)&gt;0)</x:f>
        <x:v>0</x:v>
      </x:c>
      <x:c r="C14" s="48" t="str">
        <x:f>IF(B14=TRUE,A14,"")</x:f>
      </x:c>
      <x:c r="D14" s="48" t="str">
        <x:v>ADAMTS13</x:v>
      </x:c>
      <x:c r="E14" s="48" t="str"/>
      <x:c r="F14" s="48" t="str"/>
      <x:c r="G14" s="48" t="str"/>
      <x:c r="H14" s="2"/>
      <x:c r="I14" s="2"/>
      <x:c r="J14" s="2"/>
    </x:row>
    <x:row r="15" ht="22" customHeight="1">
      <x:c r="A15" s="48" t="str">
        <x:v>ALOX15</x:v>
      </x:c>
      <x:c r="B15" s="48" t="b">
        <x:f>IF(A15="","",COUNTIF($D$6:$D$181,A15)&gt;0)</x:f>
        <x:v>0</x:v>
      </x:c>
      <x:c r="C15" s="48" t="str">
        <x:f>IF(B15=TRUE,A15,"")</x:f>
      </x:c>
      <x:c r="D15" s="48" t="str">
        <x:v>ADIPOQ</x:v>
      </x:c>
      <x:c r="E15" s="48" t="str"/>
      <x:c r="F15" s="48" t="str"/>
      <x:c r="G15" s="48" t="str"/>
      <x:c r="H15" s="2"/>
      <x:c r="I15" s="2"/>
      <x:c r="J15" s="2"/>
    </x:row>
    <x:row r="16" ht="22" customHeight="1">
      <x:c r="A16" s="48" t="str">
        <x:v>AMY1A</x:v>
      </x:c>
      <x:c r="B16" s="48" t="b">
        <x:f>IF(A16="","",COUNTIF($D$6:$D$181,A16)&gt;0)</x:f>
        <x:v>0</x:v>
      </x:c>
      <x:c r="C16" s="48" t="str">
        <x:f>IF(B16=TRUE,A16,"")</x:f>
      </x:c>
      <x:c r="D16" s="48" t="str">
        <x:v>ADORA3</x:v>
      </x:c>
      <x:c r="E16" s="48" t="str"/>
      <x:c r="F16" s="48" t="str"/>
      <x:c r="G16" s="48" t="str"/>
      <x:c r="H16" s="2"/>
      <x:c r="I16" s="2"/>
      <x:c r="J16" s="2"/>
    </x:row>
    <x:row r="17" ht="22" customHeight="1">
      <x:c r="A17" s="48" t="str">
        <x:v>ANG</x:v>
      </x:c>
      <x:c r="B17" s="48" t="b">
        <x:f>IF(A17="","",COUNTIF($D$6:$D$181,A17)&gt;0)</x:f>
        <x:v>0</x:v>
      </x:c>
      <x:c r="C17" s="48" t="str">
        <x:f>IF(B17=TRUE,A17,"")</x:f>
      </x:c>
      <x:c r="D17" s="48" t="str">
        <x:v>AGER</x:v>
      </x:c>
      <x:c r="E17" s="48" t="str"/>
      <x:c r="F17" s="48" t="str"/>
      <x:c r="G17" s="48" t="str"/>
      <x:c r="H17" s="2"/>
      <x:c r="I17" s="2"/>
      <x:c r="J17" s="2"/>
    </x:row>
    <x:row r="18" ht="22" customHeight="1">
      <x:c r="A18" s="48" t="str">
        <x:v>APEX1</x:v>
      </x:c>
      <x:c r="B18" s="48" t="b">
        <x:f>IF(A18="","",COUNTIF($D$6:$D$181,A18)&gt;0)</x:f>
        <x:v>0</x:v>
      </x:c>
      <x:c r="C18" s="48" t="str">
        <x:f>IF(B18=TRUE,A18,"")</x:f>
      </x:c>
      <x:c r="D18" s="48" t="str">
        <x:v>ALB</x:v>
      </x:c>
      <x:c r="E18" s="48" t="str"/>
      <x:c r="F18" s="48" t="str"/>
      <x:c r="G18" s="48" t="str"/>
      <x:c r="H18" s="2"/>
      <x:c r="I18" s="2"/>
      <x:c r="J18" s="2"/>
    </x:row>
    <x:row r="19" ht="22" customHeight="1">
      <x:c r="A19" s="48" t="str">
        <x:v>AR</x:v>
      </x:c>
      <x:c r="B19" s="48" t="b">
        <x:f>IF(A19="","",COUNTIF($D$6:$D$181,A19)&gt;0)</x:f>
        <x:v>0</x:v>
      </x:c>
      <x:c r="C19" s="48" t="str">
        <x:f>IF(B19=TRUE,A19,"")</x:f>
      </x:c>
      <x:c r="D19" s="48" t="str">
        <x:v>ALOX5AP</x:v>
      </x:c>
      <x:c r="E19" s="48" t="str"/>
      <x:c r="F19" s="48" t="str"/>
      <x:c r="G19" s="48" t="str"/>
      <x:c r="H19" s="2"/>
      <x:c r="I19" s="2"/>
      <x:c r="J19" s="2"/>
    </x:row>
    <x:row r="20" ht="22" customHeight="1">
      <x:c r="A20" s="48" t="str">
        <x:v>BACE1</x:v>
      </x:c>
      <x:c r="B20" s="48" t="b">
        <x:f>IF(A20="","",COUNTIF($D$6:$D$181,A20)&gt;0)</x:f>
        <x:v>0</x:v>
      </x:c>
      <x:c r="C20" s="48" t="str">
        <x:f>IF(B20=TRUE,A20,"")</x:f>
      </x:c>
      <x:c r="D20" s="48" t="str">
        <x:v>ALPL</x:v>
      </x:c>
      <x:c r="E20" s="48" t="str"/>
      <x:c r="F20" s="48" t="str"/>
      <x:c r="G20" s="48" t="str"/>
      <x:c r="H20" s="2"/>
      <x:c r="I20" s="2"/>
      <x:c r="J20" s="2"/>
    </x:row>
    <x:row r="21" ht="22" customHeight="1">
      <x:c r="A21" s="48" t="str">
        <x:v>BCHE</x:v>
      </x:c>
      <x:c r="B21" s="48" t="b">
        <x:f>IF(A21="","",COUNTIF($D$6:$D$181,A21)&gt;0)</x:f>
        <x:v>0</x:v>
      </x:c>
      <x:c r="C21" s="48" t="str">
        <x:f>IF(B21=TRUE,A21,"")</x:f>
      </x:c>
      <x:c r="D21" s="48" t="str">
        <x:v>ANGPTL4</x:v>
      </x:c>
      <x:c r="E21" s="48" t="str"/>
      <x:c r="F21" s="48" t="str"/>
      <x:c r="G21" s="48" t="str"/>
      <x:c r="H21" s="2"/>
      <x:c r="I21" s="2"/>
      <x:c r="J21" s="2"/>
    </x:row>
    <x:row r="22" ht="22" customHeight="1">
      <x:c r="A22" s="48" t="str">
        <x:v>BCL2A1</x:v>
      </x:c>
      <x:c r="B22" s="48" t="b">
        <x:f>IF(A22="","",COUNTIF($D$6:$D$181,A22)&gt;0)</x:f>
        <x:v>0</x:v>
      </x:c>
      <x:c r="C22" s="48" t="str">
        <x:f>IF(B22=TRUE,A22,"")</x:f>
      </x:c>
      <x:c r="D22" s="48" t="str">
        <x:v>ANO1</x:v>
      </x:c>
      <x:c r="E22" s="48" t="str"/>
      <x:c r="F22" s="48" t="str"/>
      <x:c r="G22" s="48" t="str"/>
      <x:c r="H22" s="2"/>
      <x:c r="I22" s="2"/>
      <x:c r="J22" s="2"/>
    </x:row>
    <x:row r="23" ht="22" customHeight="1">
      <x:c r="A23" s="48" t="str">
        <x:v>BTN3A1</x:v>
      </x:c>
      <x:c r="B23" s="48" t="b">
        <x:f>IF(A23="","",COUNTIF($D$6:$D$181,A23)&gt;0)</x:f>
        <x:v>0</x:v>
      </x:c>
      <x:c r="C23" s="48" t="str">
        <x:f>IF(B23=TRUE,A23,"")</x:f>
      </x:c>
      <x:c r="D23" s="48" t="str">
        <x:v>APOA1</x:v>
      </x:c>
      <x:c r="E23" s="48" t="str"/>
      <x:c r="F23" s="48" t="str"/>
      <x:c r="G23" s="48" t="str"/>
      <x:c r="H23" s="2"/>
      <x:c r="I23" s="2"/>
      <x:c r="J23" s="2"/>
    </x:row>
    <x:row r="24" ht="22" customHeight="1">
      <x:c r="A24" s="48" t="str">
        <x:v>CA1</x:v>
      </x:c>
      <x:c r="B24" s="48" t="b">
        <x:f>IF(A24="","",COUNTIF($D$6:$D$181,A24)&gt;0)</x:f>
        <x:v>0</x:v>
      </x:c>
      <x:c r="C24" s="48" t="str">
        <x:f>IF(B24=TRUE,A24,"")</x:f>
      </x:c>
      <x:c r="D24" s="48" t="str">
        <x:v>APOE</x:v>
      </x:c>
      <x:c r="E24" s="48" t="str"/>
      <x:c r="F24" s="48" t="str"/>
      <x:c r="G24" s="48" t="str"/>
      <x:c r="H24" s="2"/>
      <x:c r="I24" s="2"/>
      <x:c r="J24" s="2"/>
    </x:row>
    <x:row r="25" ht="22" customHeight="1">
      <x:c r="A25" s="48" t="str">
        <x:v>CA12</x:v>
      </x:c>
      <x:c r="B25" s="48" t="b">
        <x:f>IF(A25="","",COUNTIF($D$6:$D$181,A25)&gt;0)</x:f>
        <x:v>0</x:v>
      </x:c>
      <x:c r="C25" s="48" t="str">
        <x:f>IF(B25=TRUE,A25,"")</x:f>
      </x:c>
      <x:c r="D25" s="48" t="str">
        <x:v>AQP4</x:v>
      </x:c>
      <x:c r="E25" s="48" t="str"/>
      <x:c r="F25" s="48" t="str"/>
      <x:c r="G25" s="48" t="str"/>
      <x:c r="H25" s="2"/>
      <x:c r="I25" s="2"/>
      <x:c r="J25" s="2"/>
    </x:row>
    <x:row r="26" ht="22" customHeight="1">
      <x:c r="A26" s="48" t="str">
        <x:v>CA2</x:v>
      </x:c>
      <x:c r="B26" s="48" t="b">
        <x:f>IF(A26="","",COUNTIF($D$6:$D$181,A26)&gt;0)</x:f>
        <x:v>0</x:v>
      </x:c>
      <x:c r="C26" s="48" t="str">
        <x:f>IF(B26=TRUE,A26,"")</x:f>
      </x:c>
      <x:c r="D26" s="48" t="str">
        <x:v>ARHGEF15</x:v>
      </x:c>
      <x:c r="E26" s="48" t="str"/>
      <x:c r="F26" s="48" t="str"/>
      <x:c r="G26" s="48" t="str"/>
      <x:c r="H26" s="2"/>
      <x:c r="I26" s="2"/>
      <x:c r="J26" s="2"/>
    </x:row>
    <x:row r="27" ht="22" customHeight="1">
      <x:c r="A27" s="48" t="str">
        <x:v>CA3</x:v>
      </x:c>
      <x:c r="B27" s="48" t="b">
        <x:f>IF(A27="","",COUNTIF($D$6:$D$181,A27)&gt;0)</x:f>
        <x:v>0</x:v>
      </x:c>
      <x:c r="C27" s="48" t="str">
        <x:f>IF(B27=TRUE,A27,"")</x:f>
      </x:c>
      <x:c r="D27" s="48" t="str">
        <x:v>AVP</x:v>
      </x:c>
      <x:c r="E27" s="48" t="str"/>
      <x:c r="F27" s="48" t="str"/>
      <x:c r="G27" s="48" t="str"/>
      <x:c r="H27" s="2"/>
      <x:c r="I27" s="2"/>
      <x:c r="J27" s="2"/>
    </x:row>
    <x:row r="28" ht="22" customHeight="1">
      <x:c r="A28" s="48" t="str">
        <x:v>CACNA1B</x:v>
      </x:c>
      <x:c r="B28" s="48" t="b">
        <x:f>IF(A28="","",COUNTIF($D$6:$D$181,A28)&gt;0)</x:f>
        <x:v>0</x:v>
      </x:c>
      <x:c r="C28" s="48" t="str">
        <x:f>IF(B28=TRUE,A28,"")</x:f>
      </x:c>
      <x:c r="D28" s="48" t="str">
        <x:v>BDNF</x:v>
      </x:c>
      <x:c r="E28" s="48" t="str"/>
      <x:c r="F28" s="48" t="str"/>
      <x:c r="G28" s="48" t="str"/>
      <x:c r="H28" s="2"/>
      <x:c r="I28" s="2"/>
      <x:c r="J28" s="2"/>
    </x:row>
    <x:row r="29" ht="22" customHeight="1">
      <x:c r="A29" s="48" t="str">
        <x:v>CASP1</x:v>
      </x:c>
      <x:c r="B29" s="48" t="b">
        <x:f>IF(A29="","",COUNTIF($D$6:$D$181,A29)&gt;0)</x:f>
        <x:v>0</x:v>
      </x:c>
      <x:c r="C29" s="48" t="str">
        <x:f>IF(B29=TRUE,A29,"")</x:f>
      </x:c>
      <x:c r="D29" s="48" t="str">
        <x:v>BRCC3</x:v>
      </x:c>
      <x:c r="E29" s="48" t="str"/>
      <x:c r="F29" s="48" t="str"/>
      <x:c r="G29" s="48" t="str"/>
      <x:c r="H29" s="2"/>
      <x:c r="I29" s="2"/>
      <x:c r="J29" s="2"/>
    </x:row>
    <x:row r="30" ht="22" customHeight="1">
      <x:c r="A30" s="48" t="str">
        <x:v>CASP8</x:v>
      </x:c>
      <x:c r="B30" s="48" t="b">
        <x:f>IF(A30="","",COUNTIF($D$6:$D$181,A30)&gt;0)</x:f>
        <x:v>0</x:v>
      </x:c>
      <x:c r="C30" s="48" t="str">
        <x:f>IF(B30=TRUE,A30,"")</x:f>
      </x:c>
      <x:c r="D30" s="48" t="str">
        <x:v>C3</x:v>
      </x:c>
      <x:c r="E30" s="48" t="str"/>
      <x:c r="F30" s="48" t="str"/>
      <x:c r="G30" s="48" t="str"/>
      <x:c r="H30" s="2"/>
      <x:c r="I30" s="2"/>
      <x:c r="J30" s="2"/>
    </x:row>
    <x:row r="31" ht="22" customHeight="1">
      <x:c r="A31" s="48" t="str">
        <x:v>CBX1</x:v>
      </x:c>
      <x:c r="B31" s="48" t="b">
        <x:f>IF(A31="","",COUNTIF($D$6:$D$181,A31)&gt;0)</x:f>
        <x:v>0</x:v>
      </x:c>
      <x:c r="C31" s="48" t="str">
        <x:f>IF(B31=TRUE,A31,"")</x:f>
      </x:c>
      <x:c r="D31" s="48" t="str">
        <x:v>C4B</x:v>
      </x:c>
      <x:c r="E31" s="48" t="str"/>
      <x:c r="F31" s="48" t="str"/>
      <x:c r="G31" s="48" t="str"/>
      <x:c r="H31" s="2"/>
      <x:c r="I31" s="2"/>
      <x:c r="J31" s="2"/>
    </x:row>
    <x:row r="32" ht="22" customHeight="1">
      <x:c r="A32" s="48" t="str">
        <x:v>CDK19</x:v>
      </x:c>
      <x:c r="B32" s="48" t="b">
        <x:f>IF(A32="","",COUNTIF($D$6:$D$181,A32)&gt;0)</x:f>
        <x:v>0</x:v>
      </x:c>
      <x:c r="C32" s="48" t="str">
        <x:f>IF(B32=TRUE,A32,"")</x:f>
      </x:c>
      <x:c r="D32" s="48" t="str">
        <x:v>CALCA</x:v>
      </x:c>
      <x:c r="E32" s="48" t="str"/>
      <x:c r="F32" s="48" t="str"/>
      <x:c r="G32" s="48" t="str"/>
      <x:c r="H32" s="2"/>
      <x:c r="I32" s="2"/>
      <x:c r="J32" s="2"/>
    </x:row>
    <x:row r="33" ht="22" customHeight="1">
      <x:c r="A33" s="48" t="str">
        <x:v>CDK2</x:v>
      </x:c>
      <x:c r="B33" s="48" t="b">
        <x:f>IF(A33="","",COUNTIF($D$6:$D$181,A33)&gt;0)</x:f>
        <x:v>0</x:v>
      </x:c>
      <x:c r="C33" s="48" t="str">
        <x:f>IF(B33=TRUE,A33,"")</x:f>
      </x:c>
      <x:c r="D33" s="48" t="str">
        <x:v>CASP3</x:v>
      </x:c>
      <x:c r="E33" s="48" t="str"/>
      <x:c r="F33" s="48" t="str"/>
      <x:c r="G33" s="48" t="str"/>
      <x:c r="H33" s="2"/>
      <x:c r="I33" s="2"/>
      <x:c r="J33" s="2"/>
    </x:row>
    <x:row r="34" ht="22" customHeight="1">
      <x:c r="A34" s="48" t="str">
        <x:v>CFD</x:v>
      </x:c>
      <x:c r="B34" s="48" t="b">
        <x:f>IF(A34="","",COUNTIF($D$6:$D$181,A34)&gt;0)</x:f>
        <x:v>0</x:v>
      </x:c>
      <x:c r="C34" s="48" t="str">
        <x:f>IF(B34=TRUE,A34,"")</x:f>
      </x:c>
      <x:c r="D34" s="48" t="str">
        <x:v>CAV1</x:v>
      </x:c>
      <x:c r="E34" s="48" t="str"/>
      <x:c r="F34" s="48" t="str"/>
      <x:c r="G34" s="48" t="str"/>
      <x:c r="H34" s="2"/>
      <x:c r="I34" s="2"/>
      <x:c r="J34" s="2"/>
    </x:row>
    <x:row r="35" ht="22" customHeight="1">
      <x:c r="A35" s="48" t="str">
        <x:v>CGAS</x:v>
      </x:c>
      <x:c r="B35" s="48" t="b">
        <x:f>IF(A35="","",COUNTIF($D$6:$D$181,A35)&gt;0)</x:f>
        <x:v>0</x:v>
      </x:c>
      <x:c r="C35" s="48" t="str">
        <x:f>IF(B35=TRUE,A35,"")</x:f>
      </x:c>
      <x:c r="D35" s="48" t="str">
        <x:v>CBS</x:v>
      </x:c>
      <x:c r="E35" s="48" t="str"/>
      <x:c r="F35" s="48" t="str"/>
      <x:c r="G35" s="48" t="str"/>
      <x:c r="H35" s="2"/>
      <x:c r="I35" s="2"/>
      <x:c r="J35" s="2"/>
    </x:row>
    <x:row r="36" ht="22" customHeight="1">
      <x:c r="A36" s="48" t="str">
        <x:v>CHRM3</x:v>
      </x:c>
      <x:c r="B36" s="48" t="b">
        <x:f>IF(A36="","",COUNTIF($D$6:$D$181,A36)&gt;0)</x:f>
        <x:v>0</x:v>
      </x:c>
      <x:c r="C36" s="48" t="str">
        <x:f>IF(B36=TRUE,A36,"")</x:f>
      </x:c>
      <x:c r="D36" s="48" t="str">
        <x:v>CCL2</x:v>
      </x:c>
      <x:c r="E36" s="48" t="str"/>
      <x:c r="F36" s="48" t="str"/>
      <x:c r="G36" s="48" t="str"/>
      <x:c r="H36" s="2"/>
      <x:c r="I36" s="2"/>
      <x:c r="J36" s="2"/>
    </x:row>
    <x:row r="37" ht="22" customHeight="1">
      <x:c r="A37" s="48" t="str">
        <x:v>CHRM5</x:v>
      </x:c>
      <x:c r="B37" s="48" t="b">
        <x:f>IF(A37="","",COUNTIF($D$6:$D$181,A37)&gt;0)</x:f>
        <x:v>0</x:v>
      </x:c>
      <x:c r="C37" s="48" t="str">
        <x:f>IF(B37=TRUE,A37,"")</x:f>
      </x:c>
      <x:c r="D37" s="48" t="str">
        <x:v>CD163</x:v>
      </x:c>
      <x:c r="E37" s="48" t="str"/>
      <x:c r="F37" s="48" t="str"/>
      <x:c r="G37" s="48" t="str"/>
      <x:c r="H37" s="2"/>
      <x:c r="I37" s="2"/>
      <x:c r="J37" s="2"/>
    </x:row>
    <x:row r="38" ht="22" customHeight="1">
      <x:c r="A38" s="48" t="str">
        <x:v>CHRNA10</x:v>
      </x:c>
      <x:c r="B38" s="48" t="b">
        <x:f>IF(A38="","",COUNTIF($D$6:$D$181,A38)&gt;0)</x:f>
        <x:v>0</x:v>
      </x:c>
      <x:c r="C38" s="48" t="str">
        <x:f>IF(B38=TRUE,A38,"")</x:f>
      </x:c>
      <x:c r="D38" s="48" t="str">
        <x:v>CD34</x:v>
      </x:c>
      <x:c r="E38" s="48" t="str"/>
      <x:c r="F38" s="48" t="str"/>
      <x:c r="G38" s="48" t="str"/>
      <x:c r="H38" s="2"/>
      <x:c r="I38" s="2"/>
      <x:c r="J38" s="2"/>
    </x:row>
    <x:row r="39" ht="22" customHeight="1">
      <x:c r="A39" s="48" t="str">
        <x:v>CHRNA9</x:v>
      </x:c>
      <x:c r="B39" s="48" t="b">
        <x:f>IF(A39="","",COUNTIF($D$6:$D$181,A39)&gt;0)</x:f>
        <x:v>0</x:v>
      </x:c>
      <x:c r="C39" s="48" t="str">
        <x:f>IF(B39=TRUE,A39,"")</x:f>
      </x:c>
      <x:c r="D39" s="48" t="str">
        <x:v>CHI3L1</x:v>
      </x:c>
      <x:c r="E39" s="48" t="str"/>
      <x:c r="F39" s="48" t="str"/>
      <x:c r="G39" s="48" t="str"/>
      <x:c r="H39" s="2"/>
      <x:c r="I39" s="2"/>
      <x:c r="J39" s="2"/>
    </x:row>
    <x:row r="40" ht="22" customHeight="1">
      <x:c r="A40" s="48" t="str">
        <x:v>CISD1</x:v>
      </x:c>
      <x:c r="B40" s="48" t="b">
        <x:f>IF(A40="","",COUNTIF($D$6:$D$181,A40)&gt;0)</x:f>
        <x:v>0</x:v>
      </x:c>
      <x:c r="C40" s="48" t="str">
        <x:f>IF(B40=TRUE,A40,"")</x:f>
      </x:c>
      <x:c r="D40" s="48" t="str">
        <x:v>CLDN5</x:v>
      </x:c>
      <x:c r="E40" s="48" t="str"/>
      <x:c r="F40" s="48" t="str"/>
      <x:c r="G40" s="48" t="str"/>
      <x:c r="H40" s="2"/>
      <x:c r="I40" s="2"/>
      <x:c r="J40" s="2"/>
    </x:row>
    <x:row r="41" ht="22" customHeight="1">
      <x:c r="A41" s="48" t="str">
        <x:v>CNR1</x:v>
      </x:c>
      <x:c r="B41" s="48" t="b">
        <x:f>IF(A41="","",COUNTIF($D$6:$D$181,A41)&gt;0)</x:f>
        <x:v>0</x:v>
      </x:c>
      <x:c r="C41" s="48" t="str">
        <x:f>IF(B41=TRUE,A41,"")</x:f>
      </x:c>
      <x:c r="D41" s="48" t="str">
        <x:v>COL4A1</x:v>
      </x:c>
      <x:c r="E41" s="48" t="str"/>
      <x:c r="F41" s="48" t="str"/>
      <x:c r="G41" s="48" t="str"/>
      <x:c r="H41" s="2"/>
      <x:c r="I41" s="2"/>
      <x:c r="J41" s="2"/>
    </x:row>
    <x:row r="42" ht="22" customHeight="1">
      <x:c r="A42" s="48" t="str">
        <x:v>CNR2</x:v>
      </x:c>
      <x:c r="B42" s="48" t="b">
        <x:f>IF(A42="","",COUNTIF($D$6:$D$181,A42)&gt;0)</x:f>
        <x:v>0</x:v>
      </x:c>
      <x:c r="C42" s="48" t="str">
        <x:f>IF(B42=TRUE,A42,"")</x:f>
      </x:c>
      <x:c r="D42" s="48" t="str">
        <x:v>CORT</x:v>
      </x:c>
      <x:c r="E42" s="48" t="str"/>
      <x:c r="F42" s="48" t="str"/>
      <x:c r="G42" s="48" t="str"/>
      <x:c r="H42" s="2"/>
      <x:c r="I42" s="2"/>
      <x:c r="J42" s="2"/>
    </x:row>
    <x:row r="43" ht="22" customHeight="1">
      <x:c r="A43" s="48" t="str">
        <x:v>COMT</x:v>
      </x:c>
      <x:c r="B43" s="48" t="b">
        <x:f>IF(A43="","",COUNTIF($D$6:$D$181,A43)&gt;0)</x:f>
        <x:v>0</x:v>
      </x:c>
      <x:c r="C43" s="48" t="str">
        <x:f>IF(B43=TRUE,A43,"")</x:f>
      </x:c>
      <x:c r="D43" s="48" t="str">
        <x:v>CPB2</x:v>
      </x:c>
      <x:c r="E43" s="48" t="str"/>
      <x:c r="F43" s="48" t="str"/>
      <x:c r="G43" s="48" t="str"/>
      <x:c r="H43" s="2"/>
      <x:c r="I43" s="2"/>
      <x:c r="J43" s="2"/>
    </x:row>
    <x:row r="44" ht="22" customHeight="1">
      <x:c r="A44" s="48" t="str">
        <x:v>CSNK2B</x:v>
      </x:c>
      <x:c r="B44" s="48" t="b">
        <x:f>IF(A44="","",COUNTIF($D$6:$D$181,A44)&gt;0)</x:f>
        <x:v>0</x:v>
      </x:c>
      <x:c r="C44" s="48" t="str">
        <x:f>IF(B44=TRUE,A44,"")</x:f>
      </x:c>
      <x:c r="D44" s="48" t="str">
        <x:v>CRP</x:v>
      </x:c>
      <x:c r="E44" s="48" t="str"/>
      <x:c r="F44" s="48" t="str"/>
      <x:c r="G44" s="48" t="str"/>
      <x:c r="H44" s="2"/>
      <x:c r="I44" s="2"/>
      <x:c r="J44" s="2"/>
    </x:row>
    <x:row r="45" ht="22" customHeight="1">
      <x:c r="A45" s="48" t="str">
        <x:v>CTNNB1</x:v>
      </x:c>
      <x:c r="B45" s="48" t="b">
        <x:f>IF(A45="","",COUNTIF($D$6:$D$181,A45)&gt;0)</x:f>
        <x:v>0</x:v>
      </x:c>
      <x:c r="C45" s="48" t="str">
        <x:f>IF(B45=TRUE,A45,"")</x:f>
      </x:c>
      <x:c r="D45" s="48" t="str">
        <x:v>CSF2</x:v>
      </x:c>
      <x:c r="E45" s="48" t="str"/>
      <x:c r="F45" s="48" t="str"/>
      <x:c r="G45" s="48" t="str"/>
      <x:c r="H45" s="2"/>
      <x:c r="I45" s="2"/>
      <x:c r="J45" s="2"/>
    </x:row>
    <x:row r="46" ht="22" customHeight="1">
      <x:c r="A46" s="48" t="str">
        <x:v>CTSB</x:v>
      </x:c>
      <x:c r="B46" s="48" t="b">
        <x:f>IF(A46="","",COUNTIF($D$6:$D$181,A46)&gt;0)</x:f>
        <x:v>0</x:v>
      </x:c>
      <x:c r="C46" s="48" t="str">
        <x:f>IF(B46=TRUE,A46,"")</x:f>
      </x:c>
      <x:c r="D46" s="48" t="str">
        <x:v>CSF3</x:v>
      </x:c>
      <x:c r="E46" s="48" t="str"/>
      <x:c r="F46" s="48" t="str"/>
      <x:c r="G46" s="48" t="str"/>
      <x:c r="H46" s="2"/>
      <x:c r="I46" s="2"/>
      <x:c r="J46" s="2"/>
    </x:row>
    <x:row r="47" ht="22" customHeight="1">
      <x:c r="A47" s="48" t="str">
        <x:v>CTSD</x:v>
      </x:c>
      <x:c r="B47" s="48" t="b">
        <x:f>IF(A47="","",COUNTIF($D$6:$D$181,A47)&gt;0)</x:f>
        <x:v>0</x:v>
      </x:c>
      <x:c r="C47" s="48" t="str">
        <x:f>IF(B47=TRUE,A47,"")</x:f>
      </x:c>
      <x:c r="D47" s="48" t="str">
        <x:v>CST3</x:v>
      </x:c>
      <x:c r="E47" s="48" t="str"/>
      <x:c r="F47" s="48" t="str"/>
      <x:c r="G47" s="48" t="str"/>
      <x:c r="H47" s="2"/>
      <x:c r="I47" s="2"/>
      <x:c r="J47" s="2"/>
    </x:row>
    <x:row r="48" ht="22" customHeight="1">
      <x:c r="A48" s="48" t="str">
        <x:v>CTSV</x:v>
      </x:c>
      <x:c r="B48" s="48" t="b">
        <x:f>IF(A48="","",COUNTIF($D$6:$D$181,A48)&gt;0)</x:f>
        <x:v>0</x:v>
      </x:c>
      <x:c r="C48" s="48" t="str">
        <x:f>IF(B48=TRUE,A48,"")</x:f>
      </x:c>
      <x:c r="D48" s="48" t="str">
        <x:v>CTSA</x:v>
      </x:c>
      <x:c r="E48" s="48" t="str"/>
      <x:c r="F48" s="48" t="str"/>
      <x:c r="G48" s="48" t="str"/>
      <x:c r="H48" s="2"/>
      <x:c r="I48" s="2"/>
      <x:c r="J48" s="2"/>
    </x:row>
    <x:row r="49" ht="22" customHeight="1">
      <x:c r="A49" s="48" t="str">
        <x:v>CXCR1</x:v>
      </x:c>
      <x:c r="B49" s="48" t="b">
        <x:f>IF(A49="","",COUNTIF($D$6:$D$181,A49)&gt;0)</x:f>
        <x:v>0</x:v>
      </x:c>
      <x:c r="C49" s="48" t="str">
        <x:f>IF(B49=TRUE,A49,"")</x:f>
      </x:c>
      <x:c r="D49" s="48" t="str">
        <x:v>CXCL12</x:v>
      </x:c>
      <x:c r="E49" s="48" t="str"/>
      <x:c r="F49" s="48" t="str"/>
      <x:c r="G49" s="48" t="str"/>
      <x:c r="H49" s="2"/>
      <x:c r="I49" s="2"/>
      <x:c r="J49" s="2"/>
    </x:row>
    <x:row r="50" ht="22" customHeight="1">
      <x:c r="A50" s="48" t="str">
        <x:v>DDX6</x:v>
      </x:c>
      <x:c r="B50" s="48" t="b">
        <x:f>IF(A50="","",COUNTIF($D$6:$D$181,A50)&gt;0)</x:f>
        <x:v>0</x:v>
      </x:c>
      <x:c r="C50" s="48" t="str">
        <x:f>IF(B50=TRUE,A50,"")</x:f>
      </x:c>
      <x:c r="D50" s="48" t="str">
        <x:v>CXCL8</x:v>
      </x:c>
      <x:c r="E50" s="48" t="str"/>
      <x:c r="F50" s="48" t="str"/>
      <x:c r="G50" s="48" t="str"/>
      <x:c r="H50" s="2"/>
      <x:c r="I50" s="2"/>
      <x:c r="J50" s="2"/>
    </x:row>
    <x:row r="51" ht="22" customHeight="1">
      <x:c r="A51" s="48" t="str">
        <x:v>DNMT1</x:v>
      </x:c>
      <x:c r="B51" s="48" t="b">
        <x:f>IF(A51="","",COUNTIF($D$6:$D$181,A51)&gt;0)</x:f>
        <x:v>0</x:v>
      </x:c>
      <x:c r="C51" s="48" t="str">
        <x:f>IF(B51=TRUE,A51,"")</x:f>
      </x:c>
      <x:c r="D51" s="48" t="str">
        <x:v>CXCR4</x:v>
      </x:c>
      <x:c r="E51" s="48" t="str"/>
      <x:c r="F51" s="48" t="str"/>
      <x:c r="G51" s="48" t="str"/>
      <x:c r="H51" s="2"/>
      <x:c r="I51" s="2"/>
      <x:c r="J51" s="2"/>
    </x:row>
    <x:row r="52" ht="22" customHeight="1">
      <x:c r="A52" s="48" t="str">
        <x:v>DNMT3B</x:v>
      </x:c>
      <x:c r="B52" s="48" t="b">
        <x:f>IF(A52="","",COUNTIF($D$6:$D$181,A52)&gt;0)</x:f>
        <x:v>0</x:v>
      </x:c>
      <x:c r="C52" s="48" t="str">
        <x:f>IF(B52=TRUE,A52,"")</x:f>
      </x:c>
      <x:c r="D52" s="48" t="str">
        <x:v>CYP2C19</x:v>
      </x:c>
      <x:c r="E52" s="48" t="str"/>
      <x:c r="F52" s="48" t="str"/>
      <x:c r="G52" s="48" t="str"/>
      <x:c r="H52" s="2"/>
      <x:c r="I52" s="2"/>
      <x:c r="J52" s="2"/>
    </x:row>
    <x:row r="53" ht="22" customHeight="1">
      <x:c r="A53" s="48" t="str">
        <x:v>DPYD</x:v>
      </x:c>
      <x:c r="B53" s="48" t="b">
        <x:f>IF(A53="","",COUNTIF($D$6:$D$181,A53)&gt;0)</x:f>
        <x:v>0</x:v>
      </x:c>
      <x:c r="C53" s="48" t="str">
        <x:f>IF(B53=TRUE,A53,"")</x:f>
      </x:c>
      <x:c r="D53" s="48" t="str">
        <x:v>DKK1</x:v>
      </x:c>
      <x:c r="E53" s="48" t="str"/>
      <x:c r="F53" s="48" t="str"/>
      <x:c r="G53" s="48" t="str"/>
      <x:c r="H53" s="2"/>
      <x:c r="I53" s="2"/>
      <x:c r="J53" s="2"/>
    </x:row>
    <x:row r="54" ht="22" customHeight="1">
      <x:c r="A54" s="48" t="str">
        <x:v>DRD1</x:v>
      </x:c>
      <x:c r="B54" s="48" t="b">
        <x:f>IF(A54="","",COUNTIF($D$6:$D$181,A54)&gt;0)</x:f>
        <x:v>0</x:v>
      </x:c>
      <x:c r="C54" s="48" t="str">
        <x:f>IF(B54=TRUE,A54,"")</x:f>
      </x:c>
      <x:c r="D54" s="48" t="str">
        <x:v>DKK3</x:v>
      </x:c>
      <x:c r="E54" s="48" t="str"/>
      <x:c r="F54" s="48" t="str"/>
      <x:c r="G54" s="48" t="str"/>
      <x:c r="H54" s="2"/>
      <x:c r="I54" s="2"/>
      <x:c r="J54" s="2"/>
    </x:row>
    <x:row r="55" ht="22" customHeight="1">
      <x:c r="A55" s="48" t="str">
        <x:v>DRD2</x:v>
      </x:c>
      <x:c r="B55" s="48" t="b">
        <x:f>IF(A55="","",COUNTIF($D$6:$D$181,A55)&gt;0)</x:f>
        <x:v>0</x:v>
      </x:c>
      <x:c r="C55" s="48" t="str">
        <x:f>IF(B55=TRUE,A55,"")</x:f>
      </x:c>
      <x:c r="D55" s="48" t="str">
        <x:v>DLG4</x:v>
      </x:c>
      <x:c r="E55" s="48" t="str"/>
      <x:c r="F55" s="48" t="str"/>
      <x:c r="G55" s="48" t="str"/>
      <x:c r="H55" s="2"/>
      <x:c r="I55" s="2"/>
      <x:c r="J55" s="2"/>
    </x:row>
    <x:row r="56" ht="22" customHeight="1">
      <x:c r="A56" s="48" t="str">
        <x:v>DRD3</x:v>
      </x:c>
      <x:c r="B56" s="48" t="b">
        <x:f>IF(A56="","",COUNTIF($D$6:$D$181,A56)&gt;0)</x:f>
        <x:v>0</x:v>
      </x:c>
      <x:c r="C56" s="48" t="str">
        <x:f>IF(B56=TRUE,A56,"")</x:f>
      </x:c>
      <x:c r="D56" s="48" t="str">
        <x:v>DLGAP4</x:v>
      </x:c>
      <x:c r="E56" s="48" t="str"/>
      <x:c r="F56" s="48" t="str"/>
      <x:c r="G56" s="48" t="str"/>
      <x:c r="H56" s="2"/>
      <x:c r="I56" s="2"/>
      <x:c r="J56" s="2"/>
    </x:row>
    <x:row r="57" ht="22" customHeight="1">
      <x:c r="A57" s="48" t="str">
        <x:v>DRD4</x:v>
      </x:c>
      <x:c r="B57" s="48" t="b">
        <x:f>IF(A57="","",COUNTIF($D$6:$D$181,A57)&gt;0)</x:f>
        <x:v>0</x:v>
      </x:c>
      <x:c r="C57" s="48" t="str">
        <x:f>IF(B57=TRUE,A57,"")</x:f>
      </x:c>
      <x:c r="D57" s="48" t="str">
        <x:v>DNASE1</x:v>
      </x:c>
      <x:c r="E57" s="48" t="str"/>
      <x:c r="F57" s="48" t="str"/>
      <x:c r="G57" s="48" t="str"/>
      <x:c r="H57" s="2"/>
      <x:c r="I57" s="2"/>
      <x:c r="J57" s="2"/>
    </x:row>
    <x:row r="58" ht="22" customHeight="1">
      <x:c r="A58" s="48" t="str">
        <x:v>DRD5</x:v>
      </x:c>
      <x:c r="B58" s="48" t="b">
        <x:f>IF(A58="","",COUNTIF($D$6:$D$181,A58)&gt;0)</x:f>
        <x:v>0</x:v>
      </x:c>
      <x:c r="C58" s="48" t="str">
        <x:f>IF(B58=TRUE,A58,"")</x:f>
      </x:c>
      <x:c r="D58" s="48" t="str">
        <x:v>DNMT3A</x:v>
      </x:c>
      <x:c r="E58" s="48" t="str"/>
      <x:c r="F58" s="48" t="str"/>
      <x:c r="G58" s="48" t="str"/>
      <x:c r="H58" s="2"/>
      <x:c r="I58" s="2"/>
      <x:c r="J58" s="2"/>
    </x:row>
    <x:row r="59" ht="22" customHeight="1">
      <x:c r="A59" s="48" t="str">
        <x:v>EDNRB</x:v>
      </x:c>
      <x:c r="B59" s="48" t="b">
        <x:f>IF(A59="","",COUNTIF($D$6:$D$181,A59)&gt;0)</x:f>
        <x:v>0</x:v>
      </x:c>
      <x:c r="C59" s="48" t="str">
        <x:f>IF(B59=TRUE,A59,"")</x:f>
      </x:c>
      <x:c r="D59" s="48" t="str">
        <x:v>DPP4</x:v>
      </x:c>
      <x:c r="E59" s="48" t="str"/>
      <x:c r="F59" s="48" t="str"/>
      <x:c r="G59" s="48" t="str"/>
      <x:c r="H59" s="2"/>
      <x:c r="I59" s="2"/>
      <x:c r="J59" s="2"/>
    </x:row>
    <x:row r="60" ht="22" customHeight="1">
      <x:c r="A60" s="48" t="str">
        <x:v>EIF4A1</x:v>
      </x:c>
      <x:c r="B60" s="48" t="b">
        <x:f>IF(A60="","",COUNTIF($D$6:$D$181,A60)&gt;0)</x:f>
        <x:v>0</x:v>
      </x:c>
      <x:c r="C60" s="48" t="str">
        <x:f>IF(B60=TRUE,A60,"")</x:f>
      </x:c>
      <x:c r="D60" s="48" t="str">
        <x:v>EDN1</x:v>
      </x:c>
      <x:c r="E60" s="48" t="str"/>
      <x:c r="F60" s="48" t="str"/>
      <x:c r="G60" s="48" t="str"/>
      <x:c r="H60" s="2"/>
      <x:c r="I60" s="2"/>
      <x:c r="J60" s="2"/>
    </x:row>
    <x:row r="61" ht="22" customHeight="1">
      <x:c r="A61" s="48" t="str">
        <x:v>F2</x:v>
      </x:c>
      <x:c r="B61" s="48" t="b">
        <x:f>IF(A61="","",COUNTIF($D$6:$D$181,A61)&gt;0)</x:f>
        <x:v>1</x:v>
      </x:c>
      <x:c r="C61" s="48" t="str">
        <x:f>IF(B61=TRUE,A61,"")</x:f>
        <x:v>F2</x:v>
      </x:c>
      <x:c r="D61" s="48" t="str">
        <x:v>ENG</x:v>
      </x:c>
      <x:c r="E61" s="48" t="str"/>
      <x:c r="F61" s="48" t="str"/>
      <x:c r="G61" s="48" t="str"/>
      <x:c r="H61" s="2"/>
      <x:c r="I61" s="2"/>
      <x:c r="J61" s="2"/>
    </x:row>
    <x:row r="62" ht="22" customHeight="1">
      <x:c r="A62" s="48" t="str">
        <x:v>F2R</x:v>
      </x:c>
      <x:c r="B62" s="48" t="b">
        <x:f>IF(A62="","",COUNTIF($D$6:$D$181,A62)&gt;0)</x:f>
        <x:v>0</x:v>
      </x:c>
      <x:c r="C62" s="48" t="str">
        <x:f>IF(B62=TRUE,A62,"")</x:f>
      </x:c>
      <x:c r="D62" s="48" t="str">
        <x:v>ENHO</x:v>
      </x:c>
      <x:c r="E62" s="48" t="str"/>
      <x:c r="F62" s="48" t="str"/>
      <x:c r="G62" s="48" t="str"/>
      <x:c r="H62" s="2"/>
      <x:c r="I62" s="2"/>
      <x:c r="J62" s="2"/>
    </x:row>
    <x:row r="63" ht="22" customHeight="1">
      <x:c r="A63" s="48" t="str">
        <x:v>FDPS</x:v>
      </x:c>
      <x:c r="B63" s="48" t="b">
        <x:f>IF(A63="","",COUNTIF($D$6:$D$181,A63)&gt;0)</x:f>
        <x:v>0</x:v>
      </x:c>
      <x:c r="C63" s="48" t="str">
        <x:f>IF(B63=TRUE,A63,"")</x:f>
      </x:c>
      <x:c r="D63" s="48" t="str">
        <x:v>ENO1</x:v>
      </x:c>
      <x:c r="E63" s="48" t="str"/>
      <x:c r="F63" s="48" t="str"/>
      <x:c r="G63" s="48" t="str"/>
      <x:c r="H63" s="2"/>
      <x:c r="I63" s="2"/>
      <x:c r="J63" s="2"/>
    </x:row>
    <x:row r="64" ht="22" customHeight="1">
      <x:c r="A64" s="48" t="str">
        <x:v>FHIT</x:v>
      </x:c>
      <x:c r="B64" s="48" t="b">
        <x:f>IF(A64="","",COUNTIF($D$6:$D$181,A64)&gt;0)</x:f>
        <x:v>0</x:v>
      </x:c>
      <x:c r="C64" s="48" t="str">
        <x:f>IF(B64=TRUE,A64,"")</x:f>
      </x:c>
      <x:c r="D64" s="48" t="str">
        <x:v>EPO</x:v>
      </x:c>
      <x:c r="E64" s="48" t="str"/>
      <x:c r="F64" s="48" t="str"/>
      <x:c r="G64" s="48" t="str"/>
      <x:c r="H64" s="2"/>
      <x:c r="I64" s="2"/>
      <x:c r="J64" s="2"/>
    </x:row>
    <x:row r="65" ht="22" customHeight="1">
      <x:c r="A65" s="48" t="str">
        <x:v>GAA</x:v>
      </x:c>
      <x:c r="B65" s="48" t="b">
        <x:f>IF(A65="","",COUNTIF($D$6:$D$181,A65)&gt;0)</x:f>
        <x:v>0</x:v>
      </x:c>
      <x:c r="C65" s="48" t="str">
        <x:f>IF(B65=TRUE,A65,"")</x:f>
      </x:c>
      <x:c r="D65" s="48" t="str">
        <x:v>F13A1</x:v>
      </x:c>
      <x:c r="E65" s="48" t="str"/>
      <x:c r="F65" s="48" t="str"/>
      <x:c r="G65" s="48" t="str"/>
      <x:c r="H65" s="2"/>
      <x:c r="I65" s="2"/>
      <x:c r="J65" s="2"/>
    </x:row>
    <x:row r="66" ht="22" customHeight="1">
      <x:c r="A66" s="48" t="str">
        <x:v>GLO1</x:v>
      </x:c>
      <x:c r="B66" s="48" t="b">
        <x:f>IF(A66="","",COUNTIF($D$6:$D$181,A66)&gt;0)</x:f>
        <x:v>0</x:v>
      </x:c>
      <x:c r="C66" s="48" t="str">
        <x:f>IF(B66=TRUE,A66,"")</x:f>
      </x:c>
      <x:c r="D66" s="48" t="str">
        <x:v>F2</x:v>
      </x:c>
      <x:c r="E66" s="48" t="str"/>
      <x:c r="F66" s="48" t="str"/>
      <x:c r="G66" s="48" t="str"/>
      <x:c r="H66" s="2"/>
      <x:c r="I66" s="2"/>
      <x:c r="J66" s="2"/>
    </x:row>
    <x:row r="67" ht="22" customHeight="1">
      <x:c r="A67" s="48" t="str">
        <x:v>GLRA1</x:v>
      </x:c>
      <x:c r="B67" s="48" t="b">
        <x:f>IF(A67="","",COUNTIF($D$6:$D$181,A67)&gt;0)</x:f>
        <x:v>0</x:v>
      </x:c>
      <x:c r="C67" s="48" t="str">
        <x:f>IF(B67=TRUE,A67,"")</x:f>
      </x:c>
      <x:c r="D67" s="48" t="str">
        <x:v>F5</x:v>
      </x:c>
      <x:c r="E67" s="48" t="str"/>
      <x:c r="F67" s="48" t="str"/>
      <x:c r="G67" s="48" t="str"/>
      <x:c r="H67" s="2"/>
      <x:c r="I67" s="2"/>
      <x:c r="J67" s="2"/>
    </x:row>
    <x:row r="68" ht="22" customHeight="1">
      <x:c r="A68" s="48" t="str">
        <x:v>GLRA2</x:v>
      </x:c>
      <x:c r="B68" s="48" t="b">
        <x:f>IF(A68="","",COUNTIF($D$6:$D$181,A68)&gt;0)</x:f>
        <x:v>0</x:v>
      </x:c>
      <x:c r="C68" s="48" t="str">
        <x:f>IF(B68=TRUE,A68,"")</x:f>
      </x:c>
      <x:c r="D68" s="48" t="str">
        <x:v>F8</x:v>
      </x:c>
      <x:c r="E68" s="48" t="str"/>
      <x:c r="F68" s="48" t="str"/>
      <x:c r="G68" s="48" t="str"/>
      <x:c r="H68" s="2"/>
      <x:c r="I68" s="2"/>
      <x:c r="J68" s="2"/>
    </x:row>
    <x:row r="69" ht="22" customHeight="1">
      <x:c r="A69" s="48" t="str">
        <x:v>GPBAR1</x:v>
      </x:c>
      <x:c r="B69" s="48" t="b">
        <x:f>IF(A69="","",COUNTIF($D$6:$D$181,A69)&gt;0)</x:f>
        <x:v>0</x:v>
      </x:c>
      <x:c r="C69" s="48" t="str">
        <x:f>IF(B69=TRUE,A69,"")</x:f>
      </x:c>
      <x:c r="D69" s="48" t="str">
        <x:v>FABP4</x:v>
      </x:c>
      <x:c r="E69" s="48" t="str"/>
      <x:c r="F69" s="48" t="str"/>
      <x:c r="G69" s="48" t="str"/>
      <x:c r="H69" s="2"/>
      <x:c r="I69" s="2"/>
      <x:c r="J69" s="2"/>
    </x:row>
    <x:row r="70" ht="22" customHeight="1">
      <x:c r="A70" s="48" t="str">
        <x:v>GPR18</x:v>
      </x:c>
      <x:c r="B70" s="48" t="b">
        <x:f>IF(A70="","",COUNTIF($D$6:$D$181,A70)&gt;0)</x:f>
        <x:v>0</x:v>
      </x:c>
      <x:c r="C70" s="48" t="str">
        <x:f>IF(B70=TRUE,A70,"")</x:f>
      </x:c>
      <x:c r="D70" s="48" t="str">
        <x:v>FBF1</x:v>
      </x:c>
      <x:c r="E70" s="48" t="str"/>
      <x:c r="F70" s="48" t="str"/>
      <x:c r="G70" s="48" t="str"/>
      <x:c r="H70" s="2"/>
      <x:c r="I70" s="2"/>
      <x:c r="J70" s="2"/>
    </x:row>
    <x:row r="71" ht="22" customHeight="1">
      <x:c r="A71" s="48" t="str">
        <x:v>GPR32</x:v>
      </x:c>
      <x:c r="B71" s="48" t="b">
        <x:f>IF(A71="","",COUNTIF($D$6:$D$181,A71)&gt;0)</x:f>
        <x:v>0</x:v>
      </x:c>
      <x:c r="C71" s="48" t="str">
        <x:f>IF(B71=TRUE,A71,"")</x:f>
      </x:c>
      <x:c r="D71" s="48" t="str">
        <x:v>FGA</x:v>
      </x:c>
      <x:c r="E71" s="48" t="str"/>
      <x:c r="F71" s="48" t="str"/>
      <x:c r="G71" s="48" t="str"/>
      <x:c r="H71" s="2"/>
      <x:c r="I71" s="2"/>
      <x:c r="J71" s="2"/>
    </x:row>
    <x:row r="72" ht="22" customHeight="1">
      <x:c r="A72" s="48" t="str">
        <x:v>GPR55</x:v>
      </x:c>
      <x:c r="B72" s="48" t="b">
        <x:f>IF(A72="","",COUNTIF($D$6:$D$181,A72)&gt;0)</x:f>
        <x:v>0</x:v>
      </x:c>
      <x:c r="C72" s="48" t="str">
        <x:f>IF(B72=TRUE,A72,"")</x:f>
      </x:c>
      <x:c r="D72" s="48" t="str">
        <x:v>FGF2</x:v>
      </x:c>
      <x:c r="E72" s="48" t="str"/>
      <x:c r="F72" s="48" t="str"/>
      <x:c r="G72" s="48" t="str"/>
      <x:c r="H72" s="2"/>
      <x:c r="I72" s="2"/>
      <x:c r="J72" s="2"/>
    </x:row>
    <x:row r="73" ht="22" customHeight="1">
      <x:c r="A73" s="48" t="str">
        <x:v>GSR</x:v>
      </x:c>
      <x:c r="B73" s="48" t="b">
        <x:f>IF(A73="","",COUNTIF($D$6:$D$181,A73)&gt;0)</x:f>
        <x:v>0</x:v>
      </x:c>
      <x:c r="C73" s="48" t="str">
        <x:f>IF(B73=TRUE,A73,"")</x:f>
      </x:c>
      <x:c r="D73" s="48" t="str">
        <x:v>FN1</x:v>
      </x:c>
      <x:c r="E73" s="48" t="str"/>
      <x:c r="F73" s="48" t="str"/>
      <x:c r="G73" s="48" t="str"/>
      <x:c r="H73" s="2"/>
      <x:c r="I73" s="2"/>
      <x:c r="J73" s="2"/>
    </x:row>
    <x:row r="74" ht="22" customHeight="1">
      <x:c r="A74" s="48" t="str">
        <x:v>GSTP1</x:v>
      </x:c>
      <x:c r="B74" s="48" t="b">
        <x:f>IF(A74="","",COUNTIF($D$6:$D$181,A74)&gt;0)</x:f>
        <x:v>0</x:v>
      </x:c>
      <x:c r="C74" s="48" t="str">
        <x:f>IF(B74=TRUE,A74,"")</x:f>
      </x:c>
      <x:c r="D74" s="48" t="str">
        <x:v>FTO</x:v>
      </x:c>
      <x:c r="E74" s="48" t="str"/>
      <x:c r="F74" s="48" t="str"/>
      <x:c r="G74" s="48" t="str"/>
      <x:c r="H74" s="2"/>
      <x:c r="I74" s="2"/>
      <x:c r="J74" s="2"/>
    </x:row>
    <x:row r="75" ht="22" customHeight="1">
      <x:c r="A75" s="48" t="str">
        <x:v>GUSB</x:v>
      </x:c>
      <x:c r="B75" s="48" t="b">
        <x:f>IF(A75="","",COUNTIF($D$6:$D$181,A75)&gt;0)</x:f>
        <x:v>0</x:v>
      </x:c>
      <x:c r="C75" s="48" t="str">
        <x:f>IF(B75=TRUE,A75,"")</x:f>
      </x:c>
      <x:c r="D75" s="48" t="str">
        <x:v>GCFC2</x:v>
      </x:c>
      <x:c r="E75" s="48" t="str"/>
      <x:c r="F75" s="48" t="str"/>
      <x:c r="G75" s="48" t="str"/>
      <x:c r="H75" s="2"/>
      <x:c r="I75" s="2"/>
      <x:c r="J75" s="2"/>
    </x:row>
    <x:row r="76" ht="22" customHeight="1">
      <x:c r="A76" s="48" t="str">
        <x:v>HIF1A</x:v>
      </x:c>
      <x:c r="B76" s="48" t="b">
        <x:f>IF(A76="","",COUNTIF($D$6:$D$181,A76)&gt;0)</x:f>
        <x:v>1</x:v>
      </x:c>
      <x:c r="C76" s="48" t="str">
        <x:f>IF(B76=TRUE,A76,"")</x:f>
        <x:v>HIF1A</x:v>
      </x:c>
      <x:c r="D76" s="48" t="str">
        <x:v>GDF15</x:v>
      </x:c>
      <x:c r="E76" s="48" t="str"/>
      <x:c r="F76" s="48" t="str"/>
      <x:c r="G76" s="48" t="str"/>
      <x:c r="H76" s="2"/>
      <x:c r="I76" s="2"/>
      <x:c r="J76" s="2"/>
    </x:row>
    <x:row r="77" ht="22" customHeight="1">
      <x:c r="A77" s="48" t="str">
        <x:v>HMGCR</x:v>
      </x:c>
      <x:c r="B77" s="48" t="b">
        <x:f>IF(A77="","",COUNTIF($D$6:$D$181,A77)&gt;0)</x:f>
        <x:v>0</x:v>
      </x:c>
      <x:c r="C77" s="48" t="str">
        <x:f>IF(B77=TRUE,A77,"")</x:f>
      </x:c>
      <x:c r="D77" s="48" t="str">
        <x:v>GFAP</x:v>
      </x:c>
      <x:c r="E77" s="48" t="str"/>
      <x:c r="F77" s="48" t="str"/>
      <x:c r="G77" s="48" t="str"/>
      <x:c r="H77" s="2"/>
      <x:c r="I77" s="2"/>
      <x:c r="J77" s="2"/>
    </x:row>
    <x:row r="78" ht="22" customHeight="1">
      <x:c r="A78" s="48" t="str">
        <x:v>HSD17B10</x:v>
      </x:c>
      <x:c r="B78" s="48" t="b">
        <x:f>IF(A78="","",COUNTIF($D$6:$D$181,A78)&gt;0)</x:f>
        <x:v>0</x:v>
      </x:c>
      <x:c r="C78" s="48" t="str">
        <x:f>IF(B78=TRUE,A78,"")</x:f>
      </x:c>
      <x:c r="D78" s="48" t="str">
        <x:v>GLA</x:v>
      </x:c>
      <x:c r="E78" s="48" t="str"/>
      <x:c r="F78" s="48" t="str"/>
      <x:c r="G78" s="48" t="str"/>
      <x:c r="H78" s="2"/>
      <x:c r="I78" s="2"/>
      <x:c r="J78" s="2"/>
    </x:row>
    <x:row r="79" ht="22" customHeight="1">
      <x:c r="A79" s="48" t="str">
        <x:v>HSP90AA1</x:v>
      </x:c>
      <x:c r="B79" s="48" t="b">
        <x:f>IF(A79="","",COUNTIF($D$6:$D$181,A79)&gt;0)</x:f>
        <x:v>0</x:v>
      </x:c>
      <x:c r="C79" s="48" t="str">
        <x:f>IF(B79=TRUE,A79,"")</x:f>
      </x:c>
      <x:c r="D79" s="48" t="str">
        <x:v>GP6</x:v>
      </x:c>
      <x:c r="E79" s="48" t="str"/>
      <x:c r="F79" s="48" t="str"/>
      <x:c r="G79" s="48" t="str"/>
      <x:c r="H79" s="2"/>
      <x:c r="I79" s="2"/>
      <x:c r="J79" s="2"/>
    </x:row>
    <x:row r="80" ht="22" customHeight="1">
      <x:c r="A80" s="48" t="str">
        <x:v>IL2</x:v>
      </x:c>
      <x:c r="B80" s="48" t="b">
        <x:f>IF(A80="","",COUNTIF($D$6:$D$181,A80)&gt;0)</x:f>
        <x:v>0</x:v>
      </x:c>
      <x:c r="C80" s="48" t="str">
        <x:f>IF(B80=TRUE,A80,"")</x:f>
      </x:c>
      <x:c r="D80" s="48" t="str">
        <x:v>GPM6A</x:v>
      </x:c>
      <x:c r="E80" s="48" t="str"/>
      <x:c r="F80" s="48" t="str"/>
      <x:c r="G80" s="48" t="str"/>
      <x:c r="H80" s="2"/>
      <x:c r="I80" s="2"/>
      <x:c r="J80" s="2"/>
    </x:row>
    <x:row r="81" ht="22" customHeight="1">
      <x:c r="A81" s="48" t="str">
        <x:v>INPPL1</x:v>
      </x:c>
      <x:c r="B81" s="48" t="b">
        <x:f>IF(A81="","",COUNTIF($D$6:$D$181,A81)&gt;0)</x:f>
        <x:v>0</x:v>
      </x:c>
      <x:c r="C81" s="48" t="str">
        <x:f>IF(B81=TRUE,A81,"")</x:f>
      </x:c>
      <x:c r="D81" s="48" t="str">
        <x:v>GRIN1</x:v>
      </x:c>
      <x:c r="E81" s="48" t="str"/>
      <x:c r="F81" s="48" t="str"/>
      <x:c r="G81" s="48" t="str"/>
      <x:c r="H81" s="2"/>
      <x:c r="I81" s="2"/>
      <x:c r="J81" s="2"/>
    </x:row>
    <x:row r="82" ht="22" customHeight="1">
      <x:c r="A82" s="48" t="str">
        <x:v>KCNA3</x:v>
      </x:c>
      <x:c r="B82" s="48" t="b">
        <x:f>IF(A82="","",COUNTIF($D$6:$D$181,A82)&gt;0)</x:f>
        <x:v>0</x:v>
      </x:c>
      <x:c r="C82" s="48" t="str">
        <x:f>IF(B82=TRUE,A82,"")</x:f>
      </x:c>
      <x:c r="D82" s="48" t="str">
        <x:v>GSDMD</x:v>
      </x:c>
      <x:c r="E82" s="48" t="str"/>
      <x:c r="F82" s="48" t="str"/>
      <x:c r="G82" s="48" t="str"/>
      <x:c r="H82" s="2"/>
      <x:c r="I82" s="2"/>
      <x:c r="J82" s="2"/>
    </x:row>
    <x:row r="83" ht="22" customHeight="1">
      <x:c r="A83" s="48" t="str">
        <x:v>KCNH2</x:v>
      </x:c>
      <x:c r="B83" s="48" t="b">
        <x:f>IF(A83="","",COUNTIF($D$6:$D$181,A83)&gt;0)</x:f>
        <x:v>0</x:v>
      </x:c>
      <x:c r="C83" s="48" t="str">
        <x:f>IF(B83=TRUE,A83,"")</x:f>
      </x:c>
      <x:c r="D83" s="48" t="str">
        <x:v>GUCY1A1</x:v>
      </x:c>
      <x:c r="E83" s="48" t="str"/>
      <x:c r="F83" s="48" t="str"/>
      <x:c r="G83" s="48" t="str"/>
      <x:c r="H83" s="2"/>
      <x:c r="I83" s="2"/>
      <x:c r="J83" s="2"/>
    </x:row>
    <x:row r="84" ht="22" customHeight="1">
      <x:c r="A84" s="48" t="str">
        <x:v>KCNJ11</x:v>
      </x:c>
      <x:c r="B84" s="48" t="b">
        <x:f>IF(A84="","",COUNTIF($D$6:$D$181,A84)&gt;0)</x:f>
        <x:v>0</x:v>
      </x:c>
      <x:c r="C84" s="48" t="str">
        <x:f>IF(B84=TRUE,A84,"")</x:f>
      </x:c>
      <x:c r="D84" s="48" t="str">
        <x:v>HABP2</x:v>
      </x:c>
      <x:c r="E84" s="48" t="str"/>
      <x:c r="F84" s="48" t="str"/>
      <x:c r="G84" s="48" t="str"/>
      <x:c r="H84" s="2"/>
      <x:c r="I84" s="2"/>
      <x:c r="J84" s="2"/>
    </x:row>
    <x:row r="85" ht="22" customHeight="1">
      <x:c r="A85" s="48" t="str">
        <x:v>KLF5</x:v>
      </x:c>
      <x:c r="B85" s="48" t="b">
        <x:f>IF(A85="","",COUNTIF($D$6:$D$181,A85)&gt;0)</x:f>
        <x:v>0</x:v>
      </x:c>
      <x:c r="C85" s="48" t="str">
        <x:f>IF(B85=TRUE,A85,"")</x:f>
      </x:c>
      <x:c r="D85" s="48" t="str">
        <x:v>HBB</x:v>
      </x:c>
      <x:c r="E85" s="48" t="str"/>
      <x:c r="F85" s="48" t="str"/>
      <x:c r="G85" s="48" t="str"/>
      <x:c r="H85" s="2"/>
      <x:c r="I85" s="2"/>
      <x:c r="J85" s="2"/>
    </x:row>
    <x:row r="86" ht="22" customHeight="1">
      <x:c r="A86" s="48" t="str">
        <x:v>LGALS7</x:v>
      </x:c>
      <x:c r="B86" s="48" t="b">
        <x:f>IF(A86="","",COUNTIF($D$6:$D$181,A86)&gt;0)</x:f>
        <x:v>0</x:v>
      </x:c>
      <x:c r="C86" s="48" t="str">
        <x:f>IF(B86=TRUE,A86,"")</x:f>
      </x:c>
      <x:c r="D86" s="48" t="str">
        <x:v>HDAC2</x:v>
      </x:c>
      <x:c r="E86" s="48" t="str"/>
      <x:c r="F86" s="48" t="str"/>
      <x:c r="G86" s="48" t="str"/>
      <x:c r="H86" s="2"/>
      <x:c r="I86" s="2"/>
      <x:c r="J86" s="2"/>
    </x:row>
    <x:row r="87" ht="22" customHeight="1">
      <x:c r="A87" s="48" t="str">
        <x:v>LGALS7B</x:v>
      </x:c>
      <x:c r="B87" s="48" t="b">
        <x:f>IF(A87="","",COUNTIF($D$6:$D$181,A87)&gt;0)</x:f>
        <x:v>0</x:v>
      </x:c>
      <x:c r="C87" s="48" t="str">
        <x:f>IF(B87=TRUE,A87,"")</x:f>
      </x:c>
      <x:c r="D87" s="48" t="str">
        <x:v>HECTD1</x:v>
      </x:c>
      <x:c r="E87" s="48" t="str"/>
      <x:c r="F87" s="48" t="str"/>
      <x:c r="G87" s="48" t="str"/>
      <x:c r="H87" s="2"/>
      <x:c r="I87" s="2"/>
      <x:c r="J87" s="2"/>
    </x:row>
    <x:row r="88" ht="22" customHeight="1">
      <x:c r="A88" s="48" t="str">
        <x:v>LGALS8</x:v>
      </x:c>
      <x:c r="B88" s="48" t="b">
        <x:f>IF(A88="","",COUNTIF($D$6:$D$181,A88)&gt;0)</x:f>
        <x:v>0</x:v>
      </x:c>
      <x:c r="C88" s="48" t="str">
        <x:f>IF(B88=TRUE,A88,"")</x:f>
      </x:c>
      <x:c r="D88" s="48" t="str">
        <x:v>HGF</x:v>
      </x:c>
      <x:c r="E88" s="48" t="str"/>
      <x:c r="F88" s="48" t="str"/>
      <x:c r="G88" s="48" t="str"/>
      <x:c r="H88" s="2"/>
      <x:c r="I88" s="2"/>
      <x:c r="J88" s="2"/>
    </x:row>
    <x:row r="89" ht="22" customHeight="1">
      <x:c r="A89" s="48" t="str">
        <x:v>LMNA</x:v>
      </x:c>
      <x:c r="B89" s="48" t="b">
        <x:f>IF(A89="","",COUNTIF($D$6:$D$181,A89)&gt;0)</x:f>
        <x:v>0</x:v>
      </x:c>
      <x:c r="C89" s="48" t="str">
        <x:f>IF(B89=TRUE,A89,"")</x:f>
      </x:c>
      <x:c r="D89" s="48" t="str">
        <x:v>HIF1A</x:v>
      </x:c>
      <x:c r="E89" s="48" t="str"/>
      <x:c r="F89" s="48" t="str"/>
      <x:c r="G89" s="48" t="str"/>
      <x:c r="H89" s="2"/>
      <x:c r="I89" s="2"/>
      <x:c r="J89" s="2"/>
    </x:row>
    <x:row r="90" ht="22" customHeight="1">
      <x:c r="A90" s="48" t="str">
        <x:v>LPAR3</x:v>
      </x:c>
      <x:c r="B90" s="48" t="b">
        <x:f>IF(A90="","",COUNTIF($D$6:$D$181,A90)&gt;0)</x:f>
        <x:v>0</x:v>
      </x:c>
      <x:c r="C90" s="48" t="str">
        <x:f>IF(B90=TRUE,A90,"")</x:f>
      </x:c>
      <x:c r="D90" s="48" t="str">
        <x:v>HMGB1</x:v>
      </x:c>
      <x:c r="E90" s="48" t="str"/>
      <x:c r="F90" s="48" t="str"/>
      <x:c r="G90" s="48" t="str"/>
      <x:c r="H90" s="2"/>
      <x:c r="I90" s="2"/>
      <x:c r="J90" s="2"/>
    </x:row>
    <x:row r="91" ht="22" customHeight="1">
      <x:c r="A91" s="48" t="str">
        <x:v>LYPLA1</x:v>
      </x:c>
      <x:c r="B91" s="48" t="b">
        <x:f>IF(A91="","",COUNTIF($D$6:$D$181,A91)&gt;0)</x:f>
        <x:v>0</x:v>
      </x:c>
      <x:c r="C91" s="48" t="str">
        <x:f>IF(B91=TRUE,A91,"")</x:f>
      </x:c>
      <x:c r="D91" s="48" t="str">
        <x:v>HR</x:v>
      </x:c>
      <x:c r="E91" s="48" t="str"/>
      <x:c r="F91" s="48" t="str"/>
      <x:c r="G91" s="48" t="str"/>
      <x:c r="H91" s="2"/>
      <x:c r="I91" s="2"/>
      <x:c r="J91" s="2"/>
    </x:row>
    <x:row r="92" ht="22" customHeight="1">
      <x:c r="A92" s="48" t="str">
        <x:v>MAP2K4</x:v>
      </x:c>
      <x:c r="B92" s="48" t="b">
        <x:f>IF(A92="","",COUNTIF($D$6:$D$181,A92)&gt;0)</x:f>
        <x:v>0</x:v>
      </x:c>
      <x:c r="C92" s="48" t="str">
        <x:f>IF(B92=TRUE,A92,"")</x:f>
      </x:c>
      <x:c r="D92" s="48" t="str">
        <x:v>HTRA1</x:v>
      </x:c>
      <x:c r="E92" s="48" t="str"/>
      <x:c r="F92" s="48" t="str"/>
      <x:c r="G92" s="48" t="str"/>
      <x:c r="H92" s="2"/>
      <x:c r="I92" s="2"/>
      <x:c r="J92" s="2"/>
    </x:row>
    <x:row r="93" ht="22" customHeight="1">
      <x:c r="A93" s="48" t="str">
        <x:v>MBOAT4</x:v>
      </x:c>
      <x:c r="B93" s="48" t="b">
        <x:f>IF(A93="","",COUNTIF($D$6:$D$181,A93)&gt;0)</x:f>
        <x:v>0</x:v>
      </x:c>
      <x:c r="C93" s="48" t="str">
        <x:f>IF(B93=TRUE,A93,"")</x:f>
      </x:c>
      <x:c r="D93" s="48" t="str">
        <x:v>ICAM1</x:v>
      </x:c>
      <x:c r="E93" s="48" t="str"/>
      <x:c r="F93" s="48" t="str"/>
      <x:c r="G93" s="48" t="str"/>
      <x:c r="H93" s="2"/>
      <x:c r="I93" s="2"/>
      <x:c r="J93" s="2"/>
    </x:row>
    <x:row r="94" ht="22" customHeight="1">
      <x:c r="A94" s="48" t="str">
        <x:v>ME2</x:v>
      </x:c>
      <x:c r="B94" s="48" t="b">
        <x:f>IF(A94="","",COUNTIF($D$6:$D$181,A94)&gt;0)</x:f>
        <x:v>0</x:v>
      </x:c>
      <x:c r="C94" s="48" t="str">
        <x:f>IF(B94=TRUE,A94,"")</x:f>
      </x:c>
      <x:c r="D94" s="48" t="str">
        <x:v>IFNG</x:v>
      </x:c>
      <x:c r="E94" s="48" t="str"/>
      <x:c r="F94" s="48" t="str"/>
      <x:c r="G94" s="48" t="str"/>
      <x:c r="H94" s="2"/>
      <x:c r="I94" s="2"/>
      <x:c r="J94" s="2"/>
    </x:row>
    <x:row r="95" ht="22" customHeight="1">
      <x:c r="A95" s="48" t="str">
        <x:v>MIF</x:v>
      </x:c>
      <x:c r="B95" s="48" t="b">
        <x:f>IF(A95="","",COUNTIF($D$6:$D$181,A95)&gt;0)</x:f>
        <x:v>0</x:v>
      </x:c>
      <x:c r="C95" s="48" t="str">
        <x:f>IF(B95=TRUE,A95,"")</x:f>
      </x:c>
      <x:c r="D95" s="48" t="str">
        <x:v>IGF1</x:v>
      </x:c>
      <x:c r="E95" s="48" t="str"/>
      <x:c r="F95" s="48" t="str"/>
      <x:c r="G95" s="48" t="str"/>
      <x:c r="H95" s="2"/>
      <x:c r="I95" s="2"/>
      <x:c r="J95" s="2"/>
    </x:row>
    <x:row r="96" ht="22" customHeight="1">
      <x:c r="A96" s="48" t="str">
        <x:v>MTAP</x:v>
      </x:c>
      <x:c r="B96" s="48" t="b">
        <x:f>IF(A96="","",COUNTIF($D$6:$D$181,A96)&gt;0)</x:f>
        <x:v>0</x:v>
      </x:c>
      <x:c r="C96" s="48" t="str">
        <x:f>IF(B96=TRUE,A96,"")</x:f>
      </x:c>
      <x:c r="D96" s="48" t="str">
        <x:v>IL10</x:v>
      </x:c>
      <x:c r="E96" s="48" t="str"/>
      <x:c r="F96" s="48" t="str"/>
      <x:c r="G96" s="48" t="str"/>
      <x:c r="H96" s="2"/>
      <x:c r="I96" s="2"/>
      <x:c r="J96" s="2"/>
    </x:row>
    <x:row r="97" ht="22" customHeight="1">
      <x:c r="A97" s="48" t="str">
        <x:v>MVD</x:v>
      </x:c>
      <x:c r="B97" s="48" t="b">
        <x:f>IF(A97="","",COUNTIF($D$6:$D$181,A97)&gt;0)</x:f>
        <x:v>0</x:v>
      </x:c>
      <x:c r="C97" s="48" t="str">
        <x:f>IF(B97=TRUE,A97,"")</x:f>
      </x:c>
      <x:c r="D97" s="48" t="str">
        <x:v>IL17A</x:v>
      </x:c>
      <x:c r="E97" s="48" t="str"/>
      <x:c r="F97" s="48" t="str"/>
      <x:c r="G97" s="48" t="str"/>
      <x:c r="H97" s="2"/>
      <x:c r="I97" s="2"/>
      <x:c r="J97" s="2"/>
    </x:row>
    <x:row r="98" ht="22" customHeight="1">
      <x:c r="A98" s="48" t="str">
        <x:v>MYLK</x:v>
      </x:c>
      <x:c r="B98" s="48" t="b">
        <x:f>IF(A98="","",COUNTIF($D$6:$D$181,A98)&gt;0)</x:f>
        <x:v>0</x:v>
      </x:c>
      <x:c r="C98" s="48" t="str">
        <x:f>IF(B98=TRUE,A98,"")</x:f>
      </x:c>
      <x:c r="D98" s="48" t="str">
        <x:v>IL1B</x:v>
      </x:c>
      <x:c r="E98" s="48" t="str"/>
      <x:c r="F98" s="48" t="str"/>
      <x:c r="G98" s="48" t="str"/>
      <x:c r="H98" s="2"/>
      <x:c r="I98" s="2"/>
      <x:c r="J98" s="2"/>
    </x:row>
    <x:row r="99" ht="22" customHeight="1">
      <x:c r="A99" s="48" t="str">
        <x:v>NFE2L2</x:v>
      </x:c>
      <x:c r="B99" s="48" t="b">
        <x:f>IF(A99="","",COUNTIF($D$6:$D$181,A99)&gt;0)</x:f>
        <x:v>1</x:v>
      </x:c>
      <x:c r="C99" s="48" t="str">
        <x:f>IF(B99=TRUE,A99,"")</x:f>
        <x:v>NFE2L2</x:v>
      </x:c>
      <x:c r="D99" s="48" t="str">
        <x:v>IL1RL1</x:v>
      </x:c>
      <x:c r="E99" s="48" t="str"/>
      <x:c r="F99" s="48" t="str"/>
      <x:c r="G99" s="48" t="str"/>
      <x:c r="H99" s="2"/>
      <x:c r="I99" s="2"/>
      <x:c r="J99" s="2"/>
    </x:row>
    <x:row r="100" ht="22" customHeight="1">
      <x:c r="A100" s="48" t="str">
        <x:v>NFKB1</x:v>
      </x:c>
      <x:c r="B100" s="48" t="b">
        <x:f>IF(A100="","",COUNTIF($D$6:$D$181,A100)&gt;0)</x:f>
        <x:v>1</x:v>
      </x:c>
      <x:c r="C100" s="48" t="str">
        <x:f>IF(B100=TRUE,A100,"")</x:f>
        <x:v>NFKB1</x:v>
      </x:c>
      <x:c r="D100" s="48" t="str">
        <x:v>IL33</x:v>
      </x:c>
      <x:c r="E100" s="48" t="str"/>
      <x:c r="F100" s="48" t="str"/>
      <x:c r="G100" s="48" t="str"/>
      <x:c r="H100" s="2"/>
      <x:c r="I100" s="2"/>
      <x:c r="J100" s="2"/>
    </x:row>
    <x:row r="101" ht="22" customHeight="1">
      <x:c r="A101" s="48" t="str">
        <x:v>NR1H2</x:v>
      </x:c>
      <x:c r="B101" s="48" t="b">
        <x:f>IF(A101="","",COUNTIF($D$6:$D$181,A101)&gt;0)</x:f>
        <x:v>0</x:v>
      </x:c>
      <x:c r="C101" s="48" t="str">
        <x:f>IF(B101=TRUE,A101,"")</x:f>
      </x:c>
      <x:c r="D101" s="48" t="str">
        <x:v>IL4</x:v>
      </x:c>
      <x:c r="E101" s="48" t="str"/>
      <x:c r="F101" s="48" t="str"/>
      <x:c r="G101" s="48" t="str"/>
      <x:c r="H101" s="2"/>
      <x:c r="I101" s="2"/>
      <x:c r="J101" s="2"/>
    </x:row>
    <x:row r="102" ht="22" customHeight="1">
      <x:c r="A102" s="48" t="str">
        <x:v>NR2C2</x:v>
      </x:c>
      <x:c r="B102" s="48" t="b">
        <x:f>IF(A102="","",COUNTIF($D$6:$D$181,A102)&gt;0)</x:f>
        <x:v>0</x:v>
      </x:c>
      <x:c r="C102" s="48" t="str">
        <x:f>IF(B102=TRUE,A102,"")</x:f>
      </x:c>
      <x:c r="D102" s="48" t="str">
        <x:v>IL6</x:v>
      </x:c>
      <x:c r="E102" s="48" t="str"/>
      <x:c r="F102" s="48" t="str"/>
      <x:c r="G102" s="48" t="str"/>
      <x:c r="H102" s="2"/>
      <x:c r="I102" s="2"/>
      <x:c r="J102" s="2"/>
    </x:row>
    <x:row r="103" ht="22" customHeight="1">
      <x:c r="A103" s="48" t="str">
        <x:v>NR3C1</x:v>
      </x:c>
      <x:c r="B103" s="48" t="b">
        <x:f>IF(A103="","",COUNTIF($D$6:$D$181,A103)&gt;0)</x:f>
        <x:v>0</x:v>
      </x:c>
      <x:c r="C103" s="48" t="str">
        <x:f>IF(B103=TRUE,A103,"")</x:f>
      </x:c>
      <x:c r="D103" s="48" t="str">
        <x:v>ITIH4</x:v>
      </x:c>
      <x:c r="E103" s="48" t="str"/>
      <x:c r="F103" s="48" t="str"/>
      <x:c r="G103" s="48" t="str"/>
      <x:c r="H103" s="2"/>
      <x:c r="I103" s="2"/>
      <x:c r="J103" s="2"/>
    </x:row>
    <x:row r="104" ht="22" customHeight="1">
      <x:c r="A104" s="48" t="str">
        <x:v>NR4A2</x:v>
      </x:c>
      <x:c r="B104" s="48" t="b">
        <x:f>IF(A104="","",COUNTIF($D$6:$D$181,A104)&gt;0)</x:f>
        <x:v>0</x:v>
      </x:c>
      <x:c r="C104" s="48" t="str">
        <x:f>IF(B104=TRUE,A104,"")</x:f>
      </x:c>
      <x:c r="D104" s="48" t="str">
        <x:v>ITSN1</x:v>
      </x:c>
      <x:c r="E104" s="48" t="str"/>
      <x:c r="F104" s="48" t="str"/>
      <x:c r="G104" s="48" t="str"/>
      <x:c r="H104" s="2"/>
      <x:c r="I104" s="2"/>
      <x:c r="J104" s="2"/>
    </x:row>
    <x:row r="105" ht="22" customHeight="1">
      <x:c r="A105" s="48" t="str">
        <x:v>NT5E</x:v>
      </x:c>
      <x:c r="B105" s="48" t="b">
        <x:f>IF(A105="","",COUNTIF($D$6:$D$181,A105)&gt;0)</x:f>
        <x:v>0</x:v>
      </x:c>
      <x:c r="C105" s="48" t="str">
        <x:f>IF(B105=TRUE,A105,"")</x:f>
      </x:c>
      <x:c r="D105" s="48" t="str">
        <x:v>JAK2</x:v>
      </x:c>
      <x:c r="E105" s="48" t="str"/>
      <x:c r="F105" s="48" t="str"/>
      <x:c r="G105" s="48" t="str"/>
      <x:c r="H105" s="2"/>
      <x:c r="I105" s="2"/>
      <x:c r="J105" s="2"/>
    </x:row>
    <x:row r="106" ht="22" customHeight="1">
      <x:c r="A106" s="48" t="str">
        <x:v>OGA</x:v>
      </x:c>
      <x:c r="B106" s="48" t="b">
        <x:f>IF(A106="","",COUNTIF($D$6:$D$181,A106)&gt;0)</x:f>
        <x:v>0</x:v>
      </x:c>
      <x:c r="C106" s="48" t="str">
        <x:f>IF(B106=TRUE,A106,"")</x:f>
      </x:c>
      <x:c r="D106" s="48" t="str">
        <x:v>KDR</x:v>
      </x:c>
      <x:c r="E106" s="48" t="str"/>
      <x:c r="F106" s="48" t="str"/>
      <x:c r="G106" s="48" t="str"/>
      <x:c r="H106" s="2"/>
      <x:c r="I106" s="2"/>
      <x:c r="J106" s="2"/>
    </x:row>
    <x:row r="107" ht="22" customHeight="1">
      <x:c r="A107" s="48" t="str">
        <x:v>OPRD1</x:v>
      </x:c>
      <x:c r="B107" s="48" t="b">
        <x:f>IF(A107="","",COUNTIF($D$6:$D$181,A107)&gt;0)</x:f>
        <x:v>0</x:v>
      </x:c>
      <x:c r="C107" s="48" t="str">
        <x:f>IF(B107=TRUE,A107,"")</x:f>
      </x:c>
      <x:c r="D107" s="48" t="str">
        <x:v>KL</x:v>
      </x:c>
      <x:c r="E107" s="48" t="str"/>
      <x:c r="F107" s="48" t="str"/>
      <x:c r="G107" s="48" t="str"/>
      <x:c r="H107" s="2"/>
      <x:c r="I107" s="2"/>
      <x:c r="J107" s="2"/>
    </x:row>
    <x:row r="108" ht="22" customHeight="1">
      <x:c r="A108" s="48" t="str">
        <x:v>OPRK1</x:v>
      </x:c>
      <x:c r="B108" s="48" t="b">
        <x:f>IF(A108="","",COUNTIF($D$6:$D$181,A108)&gt;0)</x:f>
        <x:v>0</x:v>
      </x:c>
      <x:c r="C108" s="48" t="str">
        <x:f>IF(B108=TRUE,A108,"")</x:f>
      </x:c>
      <x:c r="D108" s="48" t="str">
        <x:v>KLK1</x:v>
      </x:c>
      <x:c r="E108" s="48" t="str"/>
      <x:c r="F108" s="48" t="str"/>
      <x:c r="G108" s="48" t="str"/>
      <x:c r="H108" s="2"/>
      <x:c r="I108" s="2"/>
      <x:c r="J108" s="2"/>
    </x:row>
    <x:row r="109" ht="22" customHeight="1">
      <x:c r="A109" s="48" t="str">
        <x:v>OPRL1</x:v>
      </x:c>
      <x:c r="B109" s="48" t="b">
        <x:f>IF(A109="","",COUNTIF($D$6:$D$181,A109)&gt;0)</x:f>
        <x:v>0</x:v>
      </x:c>
      <x:c r="C109" s="48" t="str">
        <x:f>IF(B109=TRUE,A109,"")</x:f>
      </x:c>
      <x:c r="D109" s="48" t="str">
        <x:v>KLK4</x:v>
      </x:c>
      <x:c r="E109" s="48" t="str"/>
      <x:c r="F109" s="48" t="str"/>
      <x:c r="G109" s="48" t="str"/>
      <x:c r="H109" s="2"/>
      <x:c r="I109" s="2"/>
      <x:c r="J109" s="2"/>
    </x:row>
    <x:row r="110" ht="22" customHeight="1">
      <x:c r="A110" s="48" t="str">
        <x:v>OPRM1</x:v>
      </x:c>
      <x:c r="B110" s="48" t="b">
        <x:f>IF(A110="","",COUNTIF($D$6:$D$181,A110)&gt;0)</x:f>
        <x:v>0</x:v>
      </x:c>
      <x:c r="C110" s="48" t="str">
        <x:f>IF(B110=TRUE,A110,"")</x:f>
      </x:c>
      <x:c r="D110" s="48" t="str">
        <x:v>LCN2</x:v>
      </x:c>
      <x:c r="E110" s="48" t="str"/>
      <x:c r="F110" s="48" t="str"/>
      <x:c r="G110" s="48" t="str"/>
      <x:c r="H110" s="2"/>
      <x:c r="I110" s="2"/>
      <x:c r="J110" s="2"/>
    </x:row>
    <x:row r="111" ht="22" customHeight="1">
      <x:c r="A111" s="48" t="str">
        <x:v>PAX8</x:v>
      </x:c>
      <x:c r="B111" s="48" t="b">
        <x:f>IF(A111="","",COUNTIF($D$6:$D$181,A111)&gt;0)</x:f>
        <x:v>0</x:v>
      </x:c>
      <x:c r="C111" s="48" t="str">
        <x:f>IF(B111=TRUE,A111,"")</x:f>
      </x:c>
      <x:c r="D111" s="48" t="str">
        <x:v>LGALS3</x:v>
      </x:c>
      <x:c r="E111" s="48" t="str"/>
      <x:c r="F111" s="48" t="str"/>
      <x:c r="G111" s="48" t="str"/>
      <x:c r="H111" s="2"/>
      <x:c r="I111" s="2"/>
      <x:c r="J111" s="2"/>
    </x:row>
    <x:row r="112" ht="22" customHeight="1">
      <x:c r="A112" s="48" t="str">
        <x:v>PDE5A</x:v>
      </x:c>
      <x:c r="B112" s="48" t="b">
        <x:f>IF(A112="","",COUNTIF($D$6:$D$181,A112)&gt;0)</x:f>
        <x:v>0</x:v>
      </x:c>
      <x:c r="C112" s="48" t="str">
        <x:f>IF(B112=TRUE,A112,"")</x:f>
      </x:c>
      <x:c r="D112" s="48" t="str">
        <x:v>LRP1</x:v>
      </x:c>
      <x:c r="E112" s="48" t="str"/>
      <x:c r="F112" s="48" t="str"/>
      <x:c r="G112" s="48" t="str"/>
      <x:c r="H112" s="2"/>
      <x:c r="I112" s="2"/>
      <x:c r="J112" s="2"/>
    </x:row>
    <x:row r="113" ht="22" customHeight="1">
      <x:c r="A113" s="48" t="str">
        <x:v>PEPD</x:v>
      </x:c>
      <x:c r="B113" s="48" t="b">
        <x:f>IF(A113="","",COUNTIF($D$6:$D$181,A113)&gt;0)</x:f>
        <x:v>0</x:v>
      </x:c>
      <x:c r="C113" s="48" t="str">
        <x:f>IF(B113=TRUE,A113,"")</x:f>
      </x:c>
      <x:c r="D113" s="48" t="str">
        <x:v>MAPT</x:v>
      </x:c>
      <x:c r="E113" s="48" t="str"/>
      <x:c r="F113" s="48" t="str"/>
      <x:c r="G113" s="48" t="str"/>
      <x:c r="H113" s="2"/>
      <x:c r="I113" s="2"/>
      <x:c r="J113" s="2"/>
    </x:row>
    <x:row r="114" ht="22" customHeight="1">
      <x:c r="A114" s="48" t="str">
        <x:v>PGR</x:v>
      </x:c>
      <x:c r="B114" s="48" t="b">
        <x:f>IF(A114="","",COUNTIF($D$6:$D$181,A114)&gt;0)</x:f>
        <x:v>0</x:v>
      </x:c>
      <x:c r="C114" s="48" t="str">
        <x:f>IF(B114=TRUE,A114,"")</x:f>
      </x:c>
      <x:c r="D114" s="48" t="str">
        <x:v>MBL2</x:v>
      </x:c>
      <x:c r="E114" s="48" t="str"/>
      <x:c r="F114" s="48" t="str"/>
      <x:c r="G114" s="48" t="str"/>
      <x:c r="H114" s="2"/>
      <x:c r="I114" s="2"/>
      <x:c r="J114" s="2"/>
    </x:row>
    <x:row r="115" ht="22" customHeight="1">
      <x:c r="A115" s="48" t="str">
        <x:v>PIM1</x:v>
      </x:c>
      <x:c r="B115" s="48" t="b">
        <x:f>IF(A115="","",COUNTIF($D$6:$D$181,A115)&gt;0)</x:f>
        <x:v>0</x:v>
      </x:c>
      <x:c r="C115" s="48" t="str">
        <x:f>IF(B115=TRUE,A115,"")</x:f>
      </x:c>
      <x:c r="D115" s="48" t="str">
        <x:v>MBP</x:v>
      </x:c>
      <x:c r="E115" s="48" t="str"/>
      <x:c r="F115" s="48" t="str"/>
      <x:c r="G115" s="48" t="str"/>
      <x:c r="H115" s="2"/>
      <x:c r="I115" s="2"/>
      <x:c r="J115" s="2"/>
    </x:row>
    <x:row r="116" ht="22" customHeight="1">
      <x:c r="A116" s="48" t="str">
        <x:v>PKM</x:v>
      </x:c>
      <x:c r="B116" s="48" t="b">
        <x:f>IF(A116="","",COUNTIF($D$6:$D$181,A116)&gt;0)</x:f>
        <x:v>0</x:v>
      </x:c>
      <x:c r="C116" s="48" t="str">
        <x:f>IF(B116=TRUE,A116,"")</x:f>
      </x:c>
      <x:c r="D116" s="48" t="str">
        <x:v>MCL1</x:v>
      </x:c>
      <x:c r="E116" s="48" t="str"/>
      <x:c r="F116" s="48" t="str"/>
      <x:c r="G116" s="48" t="str"/>
      <x:c r="H116" s="2"/>
      <x:c r="I116" s="2"/>
      <x:c r="J116" s="2"/>
    </x:row>
    <x:row r="117" ht="22" customHeight="1">
      <x:c r="A117" s="48" t="str">
        <x:v>PNLIP</x:v>
      </x:c>
      <x:c r="B117" s="48" t="b">
        <x:f>IF(A117="","",COUNTIF($D$6:$D$181,A117)&gt;0)</x:f>
        <x:v>0</x:v>
      </x:c>
      <x:c r="C117" s="48" t="str">
        <x:f>IF(B117=TRUE,A117,"")</x:f>
      </x:c>
      <x:c r="D117" s="48" t="str">
        <x:v>METTL3</x:v>
      </x:c>
      <x:c r="E117" s="48" t="str"/>
      <x:c r="F117" s="48" t="str"/>
      <x:c r="G117" s="48" t="str"/>
      <x:c r="H117" s="2"/>
      <x:c r="I117" s="2"/>
      <x:c r="J117" s="2"/>
    </x:row>
    <x:row r="118" ht="22" customHeight="1">
      <x:c r="A118" s="48" t="str">
        <x:v>POLB</x:v>
      </x:c>
      <x:c r="B118" s="48" t="b">
        <x:f>IF(A118="","",COUNTIF($D$6:$D$181,A118)&gt;0)</x:f>
        <x:v>0</x:v>
      </x:c>
      <x:c r="C118" s="48" t="str">
        <x:f>IF(B118=TRUE,A118,"")</x:f>
      </x:c>
      <x:c r="D118" s="48" t="str">
        <x:v>MMACHC</x:v>
      </x:c>
      <x:c r="E118" s="48" t="str"/>
      <x:c r="F118" s="48" t="str"/>
      <x:c r="G118" s="48" t="str"/>
      <x:c r="H118" s="2"/>
      <x:c r="I118" s="2"/>
      <x:c r="J118" s="2"/>
    </x:row>
    <x:row r="119" ht="22" customHeight="1">
      <x:c r="A119" s="48" t="str">
        <x:v>PPARG</x:v>
      </x:c>
      <x:c r="B119" s="48" t="b">
        <x:f>IF(A119="","",COUNTIF($D$6:$D$181,A119)&gt;0)</x:f>
        <x:v>0</x:v>
      </x:c>
      <x:c r="C119" s="48" t="str">
        <x:f>IF(B119=TRUE,A119,"")</x:f>
      </x:c>
      <x:c r="D119" s="48" t="str">
        <x:v>MMP1</x:v>
      </x:c>
      <x:c r="E119" s="48" t="str"/>
      <x:c r="F119" s="48" t="str"/>
      <x:c r="G119" s="48" t="str"/>
      <x:c r="H119" s="2"/>
      <x:c r="I119" s="2"/>
      <x:c r="J119" s="2"/>
    </x:row>
    <x:row r="120" ht="22" customHeight="1">
      <x:c r="A120" s="48" t="str">
        <x:v>PPIA</x:v>
      </x:c>
      <x:c r="B120" s="48" t="b">
        <x:f>IF(A120="","",COUNTIF($D$6:$D$181,A120)&gt;0)</x:f>
        <x:v>0</x:v>
      </x:c>
      <x:c r="C120" s="48" t="str">
        <x:f>IF(B120=TRUE,A120,"")</x:f>
      </x:c>
      <x:c r="D120" s="48" t="str">
        <x:v>MMP2</x:v>
      </x:c>
      <x:c r="E120" s="48" t="str"/>
      <x:c r="F120" s="48" t="str"/>
      <x:c r="G120" s="48" t="str"/>
      <x:c r="H120" s="2"/>
      <x:c r="I120" s="2"/>
      <x:c r="J120" s="2"/>
    </x:row>
    <x:row r="121" ht="22" customHeight="1">
      <x:c r="A121" s="48" t="str">
        <x:v>PPID</x:v>
      </x:c>
      <x:c r="B121" s="48" t="b">
        <x:f>IF(A121="","",COUNTIF($D$6:$D$181,A121)&gt;0)</x:f>
        <x:v>0</x:v>
      </x:c>
      <x:c r="C121" s="48" t="str">
        <x:f>IF(B121=TRUE,A121,"")</x:f>
      </x:c>
      <x:c r="D121" s="48" t="str">
        <x:v>MMP9</x:v>
      </x:c>
      <x:c r="E121" s="48" t="str"/>
      <x:c r="F121" s="48" t="str"/>
      <x:c r="G121" s="48" t="str"/>
      <x:c r="H121" s="2"/>
      <x:c r="I121" s="2"/>
      <x:c r="J121" s="2"/>
    </x:row>
    <x:row r="122" ht="22" customHeight="1">
      <x:c r="A122" s="48" t="str">
        <x:v>PPM1B</x:v>
      </x:c>
      <x:c r="B122" s="48" t="b">
        <x:f>IF(A122="","",COUNTIF($D$6:$D$181,A122)&gt;0)</x:f>
        <x:v>0</x:v>
      </x:c>
      <x:c r="C122" s="48" t="str">
        <x:f>IF(B122=TRUE,A122,"")</x:f>
      </x:c>
      <x:c r="D122" s="48" t="str">
        <x:v>MPO</x:v>
      </x:c>
      <x:c r="E122" s="48" t="str"/>
      <x:c r="F122" s="48" t="str"/>
      <x:c r="G122" s="48" t="str"/>
      <x:c r="H122" s="2"/>
      <x:c r="I122" s="2"/>
      <x:c r="J122" s="2"/>
    </x:row>
    <x:row r="123" ht="22" customHeight="1">
      <x:c r="A123" s="48" t="str">
        <x:v>PPP5C</x:v>
      </x:c>
      <x:c r="B123" s="48" t="b">
        <x:f>IF(A123="","",COUNTIF($D$6:$D$181,A123)&gt;0)</x:f>
        <x:v>0</x:v>
      </x:c>
      <x:c r="C123" s="48" t="str">
        <x:f>IF(B123=TRUE,A123,"")</x:f>
      </x:c>
      <x:c r="D123" s="48" t="str">
        <x:v>MTHFR</x:v>
      </x:c>
      <x:c r="E123" s="48" t="str"/>
      <x:c r="F123" s="48" t="str"/>
      <x:c r="G123" s="48" t="str"/>
      <x:c r="H123" s="2"/>
      <x:c r="I123" s="2"/>
      <x:c r="J123" s="2"/>
    </x:row>
    <x:row r="124" ht="22" customHeight="1">
      <x:c r="A124" s="48" t="str">
        <x:v>PRKAA2</x:v>
      </x:c>
      <x:c r="B124" s="48" t="b">
        <x:f>IF(A124="","",COUNTIF($D$6:$D$181,A124)&gt;0)</x:f>
        <x:v>0</x:v>
      </x:c>
      <x:c r="C124" s="48" t="str">
        <x:f>IF(B124=TRUE,A124,"")</x:f>
      </x:c>
      <x:c r="D124" s="48" t="str">
        <x:v>NAMPT</x:v>
      </x:c>
      <x:c r="E124" s="48" t="str"/>
      <x:c r="F124" s="48" t="str"/>
      <x:c r="G124" s="48" t="str"/>
      <x:c r="H124" s="2"/>
      <x:c r="I124" s="2"/>
      <x:c r="J124" s="2"/>
    </x:row>
    <x:row r="125" ht="22" customHeight="1">
      <x:c r="A125" s="48" t="str">
        <x:v>PRKAB1</x:v>
      </x:c>
      <x:c r="B125" s="48" t="b">
        <x:f>IF(A125="","",COUNTIF($D$6:$D$181,A125)&gt;0)</x:f>
        <x:v>0</x:v>
      </x:c>
      <x:c r="C125" s="48" t="str">
        <x:f>IF(B125=TRUE,A125,"")</x:f>
      </x:c>
      <x:c r="D125" s="48" t="str">
        <x:v>NEFL</x:v>
      </x:c>
      <x:c r="E125" s="48" t="str"/>
      <x:c r="F125" s="48" t="str"/>
      <x:c r="G125" s="48" t="str"/>
      <x:c r="H125" s="2"/>
      <x:c r="I125" s="2"/>
      <x:c r="J125" s="2"/>
    </x:row>
    <x:row r="126" ht="22" customHeight="1">
      <x:c r="A126" s="48" t="str">
        <x:v>PRKACA</x:v>
      </x:c>
      <x:c r="B126" s="48" t="b">
        <x:f>IF(A126="","",COUNTIF($D$6:$D$181,A126)&gt;0)</x:f>
        <x:v>0</x:v>
      </x:c>
      <x:c r="C126" s="48" t="str">
        <x:f>IF(B126=TRUE,A126,"")</x:f>
      </x:c>
      <x:c r="D126" s="48" t="str">
        <x:v>NFE2L2</x:v>
      </x:c>
      <x:c r="E126" s="48" t="str"/>
      <x:c r="F126" s="48" t="str"/>
      <x:c r="G126" s="48" t="str"/>
      <x:c r="H126" s="2"/>
      <x:c r="I126" s="2"/>
      <x:c r="J126" s="2"/>
    </x:row>
    <x:row r="127" ht="22" customHeight="1">
      <x:c r="A127" s="48" t="str">
        <x:v>PRKAG1</x:v>
      </x:c>
      <x:c r="B127" s="48" t="b">
        <x:f>IF(A127="","",COUNTIF($D$6:$D$181,A127)&gt;0)</x:f>
        <x:v>0</x:v>
      </x:c>
      <x:c r="C127" s="48" t="str">
        <x:f>IF(B127=TRUE,A127,"")</x:f>
      </x:c>
      <x:c r="D127" s="48" t="str">
        <x:v>NFKB1</x:v>
      </x:c>
      <x:c r="E127" s="48" t="str"/>
      <x:c r="F127" s="48" t="str"/>
      <x:c r="G127" s="48" t="str"/>
      <x:c r="H127" s="2"/>
      <x:c r="I127" s="2"/>
      <x:c r="J127" s="2"/>
    </x:row>
    <x:row r="128" ht="22" customHeight="1">
      <x:c r="A128" s="48" t="str">
        <x:v>PRKCA</x:v>
      </x:c>
      <x:c r="B128" s="48" t="b">
        <x:f>IF(A128="","",COUNTIF($D$6:$D$181,A128)&gt;0)</x:f>
        <x:v>0</x:v>
      </x:c>
      <x:c r="C128" s="48" t="str">
        <x:f>IF(B128=TRUE,A128,"")</x:f>
      </x:c>
      <x:c r="D128" s="48" t="str">
        <x:v>NGFR</x:v>
      </x:c>
      <x:c r="E128" s="48" t="str"/>
      <x:c r="F128" s="48" t="str"/>
      <x:c r="G128" s="48" t="str"/>
      <x:c r="H128" s="2"/>
      <x:c r="I128" s="2"/>
      <x:c r="J128" s="2"/>
    </x:row>
    <x:row r="129" ht="22" customHeight="1">
      <x:c r="A129" s="48" t="str">
        <x:v>PRKCD</x:v>
      </x:c>
      <x:c r="B129" s="48" t="b">
        <x:f>IF(A129="","",COUNTIF($D$6:$D$181,A129)&gt;0)</x:f>
        <x:v>0</x:v>
      </x:c>
      <x:c r="C129" s="48" t="str">
        <x:f>IF(B129=TRUE,A129,"")</x:f>
      </x:c>
      <x:c r="D129" s="48" t="str">
        <x:v>NIT1</x:v>
      </x:c>
      <x:c r="E129" s="48" t="str"/>
      <x:c r="F129" s="48" t="str"/>
      <x:c r="G129" s="48" t="str"/>
      <x:c r="H129" s="2"/>
      <x:c r="I129" s="2"/>
      <x:c r="J129" s="2"/>
    </x:row>
    <x:row r="130" ht="22" customHeight="1">
      <x:c r="A130" s="48" t="str">
        <x:v>PRKCE</x:v>
      </x:c>
      <x:c r="B130" s="48" t="b">
        <x:f>IF(A130="","",COUNTIF($D$6:$D$181,A130)&gt;0)</x:f>
        <x:v>0</x:v>
      </x:c>
      <x:c r="C130" s="48" t="str">
        <x:f>IF(B130=TRUE,A130,"")</x:f>
      </x:c>
      <x:c r="D130" s="48" t="str">
        <x:v>NLRP3</x:v>
      </x:c>
      <x:c r="E130" s="48" t="str"/>
      <x:c r="F130" s="48" t="str"/>
      <x:c r="G130" s="48" t="str"/>
      <x:c r="H130" s="2"/>
      <x:c r="I130" s="2"/>
      <x:c r="J130" s="2"/>
    </x:row>
    <x:row r="131" ht="22" customHeight="1">
      <x:c r="A131" s="48" t="str">
        <x:v>PRKCG</x:v>
      </x:c>
      <x:c r="B131" s="48" t="b">
        <x:f>IF(A131="","",COUNTIF($D$6:$D$181,A131)&gt;0)</x:f>
        <x:v>0</x:v>
      </x:c>
      <x:c r="C131" s="48" t="str">
        <x:f>IF(B131=TRUE,A131,"")</x:f>
      </x:c>
      <x:c r="D131" s="48" t="str">
        <x:v>NOS3</x:v>
      </x:c>
      <x:c r="E131" s="48" t="str"/>
      <x:c r="F131" s="48" t="str"/>
      <x:c r="G131" s="48" t="str"/>
      <x:c r="H131" s="2"/>
      <x:c r="I131" s="2"/>
      <x:c r="J131" s="2"/>
    </x:row>
    <x:row r="132" ht="22" customHeight="1">
      <x:c r="A132" s="48" t="str">
        <x:v>PSMB1</x:v>
      </x:c>
      <x:c r="B132" s="48" t="b">
        <x:f>IF(A132="","",COUNTIF($D$6:$D$181,A132)&gt;0)</x:f>
        <x:v>0</x:v>
      </x:c>
      <x:c r="C132" s="48" t="str">
        <x:f>IF(B132=TRUE,A132,"")</x:f>
      </x:c>
      <x:c r="D132" s="48" t="str">
        <x:v>NOTCH3</x:v>
      </x:c>
      <x:c r="E132" s="48" t="str"/>
      <x:c r="F132" s="48" t="str"/>
      <x:c r="G132" s="48" t="str"/>
      <x:c r="H132" s="2"/>
      <x:c r="I132" s="2"/>
      <x:c r="J132" s="2"/>
    </x:row>
    <x:row r="133" ht="22" customHeight="1">
      <x:c r="A133" s="48" t="str">
        <x:v>PTAFR</x:v>
      </x:c>
      <x:c r="B133" s="48" t="b">
        <x:f>IF(A133="","",COUNTIF($D$6:$D$181,A133)&gt;0)</x:f>
        <x:v>0</x:v>
      </x:c>
      <x:c r="C133" s="48" t="str">
        <x:f>IF(B133=TRUE,A133,"")</x:f>
      </x:c>
      <x:c r="D133" s="48" t="str">
        <x:v>NPPA</x:v>
      </x:c>
      <x:c r="E133" s="48" t="str"/>
      <x:c r="F133" s="48" t="str"/>
      <x:c r="G133" s="48" t="str"/>
      <x:c r="H133" s="2"/>
      <x:c r="I133" s="2"/>
      <x:c r="J133" s="2"/>
    </x:row>
    <x:row r="134" ht="22" customHeight="1">
      <x:c r="A134" s="48" t="str">
        <x:v>PTGFR</x:v>
      </x:c>
      <x:c r="B134" s="48" t="b">
        <x:f>IF(A134="","",COUNTIF($D$6:$D$181,A134)&gt;0)</x:f>
        <x:v>0</x:v>
      </x:c>
      <x:c r="C134" s="48" t="str">
        <x:f>IF(B134=TRUE,A134,"")</x:f>
      </x:c>
      <x:c r="D134" s="48" t="str">
        <x:v>NPPB</x:v>
      </x:c>
      <x:c r="E134" s="48" t="str"/>
      <x:c r="F134" s="48" t="str"/>
      <x:c r="G134" s="48" t="str"/>
      <x:c r="H134" s="2"/>
      <x:c r="I134" s="2"/>
      <x:c r="J134" s="2"/>
    </x:row>
    <x:row r="135" ht="22" customHeight="1">
      <x:c r="A135" s="48" t="str">
        <x:v>PTGIR</x:v>
      </x:c>
      <x:c r="B135" s="48" t="b">
        <x:f>IF(A135="","",COUNTIF($D$6:$D$181,A135)&gt;0)</x:f>
        <x:v>0</x:v>
      </x:c>
      <x:c r="C135" s="48" t="str">
        <x:f>IF(B135=TRUE,A135,"")</x:f>
      </x:c>
      <x:c r="D135" s="48" t="str">
        <x:v>OCLN</x:v>
      </x:c>
      <x:c r="E135" s="48" t="str"/>
      <x:c r="F135" s="48" t="str"/>
      <x:c r="G135" s="48" t="str"/>
      <x:c r="H135" s="2"/>
      <x:c r="I135" s="2"/>
      <x:c r="J135" s="2"/>
    </x:row>
    <x:row r="136" ht="22" customHeight="1">
      <x:c r="A136" s="48" t="str">
        <x:v>PTPRC</x:v>
      </x:c>
      <x:c r="B136" s="48" t="b">
        <x:f>IF(A136="","",COUNTIF($D$6:$D$181,A136)&gt;0)</x:f>
        <x:v>0</x:v>
      </x:c>
      <x:c r="C136" s="48" t="str">
        <x:f>IF(B136=TRUE,A136,"")</x:f>
      </x:c>
      <x:c r="D136" s="48" t="str">
        <x:v>OLR1</x:v>
      </x:c>
      <x:c r="E136" s="48" t="str"/>
      <x:c r="F136" s="48" t="str"/>
      <x:c r="G136" s="48" t="str"/>
      <x:c r="H136" s="2"/>
      <x:c r="I136" s="2"/>
      <x:c r="J136" s="2"/>
    </x:row>
    <x:row r="137" ht="22" customHeight="1">
      <x:c r="A137" s="48" t="str">
        <x:v>RELA</x:v>
      </x:c>
      <x:c r="B137" s="48" t="b">
        <x:f>IF(A137="","",COUNTIF($D$6:$D$181,A137)&gt;0)</x:f>
        <x:v>0</x:v>
      </x:c>
      <x:c r="C137" s="48" t="str">
        <x:f>IF(B137=TRUE,A137,"")</x:f>
      </x:c>
      <x:c r="D137" s="48" t="str">
        <x:v>PANX1</x:v>
      </x:c>
      <x:c r="E137" s="48" t="str"/>
      <x:c r="F137" s="48" t="str"/>
      <x:c r="G137" s="48" t="str"/>
      <x:c r="H137" s="2"/>
      <x:c r="I137" s="2"/>
      <x:c r="J137" s="2"/>
    </x:row>
    <x:row r="138" ht="22" customHeight="1">
      <x:c r="A138" s="48" t="str">
        <x:v>REN</x:v>
      </x:c>
      <x:c r="B138" s="48" t="b">
        <x:f>IF(A138="","",COUNTIF($D$6:$D$181,A138)&gt;0)</x:f>
        <x:v>0</x:v>
      </x:c>
      <x:c r="C138" s="48" t="str">
        <x:f>IF(B138=TRUE,A138,"")</x:f>
      </x:c>
      <x:c r="D138" s="48" t="str">
        <x:v>PARP1</x:v>
      </x:c>
      <x:c r="E138" s="48" t="str"/>
      <x:c r="F138" s="48" t="str"/>
      <x:c r="G138" s="48" t="str"/>
      <x:c r="H138" s="2"/>
      <x:c r="I138" s="2"/>
      <x:c r="J138" s="2"/>
    </x:row>
    <x:row r="139" ht="22" customHeight="1">
      <x:c r="A139" s="48" t="str">
        <x:v>RORC</x:v>
      </x:c>
      <x:c r="B139" s="48" t="b">
        <x:f>IF(A139="","",COUNTIF($D$6:$D$181,A139)&gt;0)</x:f>
        <x:v>0</x:v>
      </x:c>
      <x:c r="C139" s="48" t="str">
        <x:f>IF(B139=TRUE,A139,"")</x:f>
      </x:c>
      <x:c r="D139" s="48" t="str">
        <x:v>PCSK9</x:v>
      </x:c>
      <x:c r="E139" s="48" t="str"/>
      <x:c r="F139" s="48" t="str"/>
      <x:c r="G139" s="48" t="str"/>
      <x:c r="H139" s="2"/>
      <x:c r="I139" s="2"/>
      <x:c r="J139" s="2"/>
    </x:row>
    <x:row r="140" ht="22" customHeight="1">
      <x:c r="A140" s="48" t="str">
        <x:v>SCN1A</x:v>
      </x:c>
      <x:c r="B140" s="48" t="b">
        <x:f>IF(A140="","",COUNTIF($D$6:$D$181,A140)&gt;0)</x:f>
        <x:v>0</x:v>
      </x:c>
      <x:c r="C140" s="48" t="str">
        <x:f>IF(B140=TRUE,A140,"")</x:f>
      </x:c>
      <x:c r="D140" s="48" t="str">
        <x:v>PDE3A</x:v>
      </x:c>
      <x:c r="E140" s="48" t="str"/>
      <x:c r="F140" s="48" t="str"/>
      <x:c r="G140" s="48" t="str"/>
      <x:c r="H140" s="2"/>
      <x:c r="I140" s="2"/>
      <x:c r="J140" s="2"/>
    </x:row>
    <x:row r="141" ht="22" customHeight="1">
      <x:c r="A141" s="48" t="str">
        <x:v>SENP1</x:v>
      </x:c>
      <x:c r="B141" s="48" t="b">
        <x:f>IF(A141="","",COUNTIF($D$6:$D$181,A141)&gt;0)</x:f>
        <x:v>0</x:v>
      </x:c>
      <x:c r="C141" s="48" t="str">
        <x:f>IF(B141=TRUE,A141,"")</x:f>
      </x:c>
      <x:c r="D141" s="48" t="str">
        <x:v>PLA2G7</x:v>
      </x:c>
      <x:c r="E141" s="48" t="str"/>
      <x:c r="F141" s="48" t="str"/>
      <x:c r="G141" s="48" t="str"/>
      <x:c r="H141" s="2"/>
      <x:c r="I141" s="2"/>
      <x:c r="J141" s="2"/>
    </x:row>
    <x:row r="142" ht="22" customHeight="1">
      <x:c r="A142" s="48" t="str">
        <x:v>SF3B3</x:v>
      </x:c>
      <x:c r="B142" s="48" t="b">
        <x:f>IF(A142="","",COUNTIF($D$6:$D$181,A142)&gt;0)</x:f>
        <x:v>0</x:v>
      </x:c>
      <x:c r="C142" s="48" t="str">
        <x:f>IF(B142=TRUE,A142,"")</x:f>
      </x:c>
      <x:c r="D142" s="48" t="str">
        <x:v>PLAT</x:v>
      </x:c>
      <x:c r="E142" s="48" t="str"/>
      <x:c r="F142" s="48" t="str"/>
      <x:c r="G142" s="48" t="str"/>
      <x:c r="H142" s="2"/>
      <x:c r="I142" s="2"/>
      <x:c r="J142" s="2"/>
    </x:row>
    <x:row r="143" ht="22" customHeight="1">
      <x:c r="A143" s="48" t="str">
        <x:v>SHBG</x:v>
      </x:c>
      <x:c r="B143" s="48" t="b">
        <x:f>IF(A143="","",COUNTIF($D$6:$D$181,A143)&gt;0)</x:f>
        <x:v>0</x:v>
      </x:c>
      <x:c r="C143" s="48" t="str">
        <x:f>IF(B143=TRUE,A143,"")</x:f>
      </x:c>
      <x:c r="D143" s="48" t="str">
        <x:v>PLAU</x:v>
      </x:c>
      <x:c r="E143" s="48" t="str"/>
      <x:c r="F143" s="48" t="str"/>
      <x:c r="G143" s="48" t="str"/>
      <x:c r="H143" s="2"/>
      <x:c r="I143" s="2"/>
      <x:c r="J143" s="2"/>
    </x:row>
    <x:row r="144" ht="22" customHeight="1">
      <x:c r="A144" s="48" t="str">
        <x:v>SIGMAR1</x:v>
      </x:c>
      <x:c r="B144" s="48" t="b">
        <x:f>IF(A144="","",COUNTIF($D$6:$D$181,A144)&gt;0)</x:f>
        <x:v>0</x:v>
      </x:c>
      <x:c r="C144" s="48" t="str">
        <x:f>IF(B144=TRUE,A144,"")</x:f>
      </x:c>
      <x:c r="D144" s="48" t="str">
        <x:v>PON1</x:v>
      </x:c>
      <x:c r="E144" s="48" t="str"/>
      <x:c r="F144" s="48" t="str"/>
      <x:c r="G144" s="48" t="str"/>
      <x:c r="H144" s="2"/>
      <x:c r="I144" s="2"/>
      <x:c r="J144" s="2"/>
    </x:row>
    <x:row r="145" ht="22" customHeight="1">
      <x:c r="A145" s="48" t="str">
        <x:v>SIRT1</x:v>
      </x:c>
      <x:c r="B145" s="48" t="b">
        <x:f>IF(A145="","",COUNTIF($D$6:$D$181,A145)&gt;0)</x:f>
        <x:v>1</x:v>
      </x:c>
      <x:c r="C145" s="48" t="str">
        <x:f>IF(B145=TRUE,A145,"")</x:f>
        <x:v>SIRT1</x:v>
      </x:c>
      <x:c r="D145" s="48" t="str">
        <x:v>PROC</x:v>
      </x:c>
      <x:c r="E145" s="48" t="str"/>
      <x:c r="F145" s="48" t="str"/>
      <x:c r="G145" s="48" t="str"/>
      <x:c r="H145" s="2"/>
      <x:c r="I145" s="2"/>
      <x:c r="J145" s="2"/>
    </x:row>
    <x:row r="146" ht="22" customHeight="1">
      <x:c r="A146" s="48" t="str">
        <x:v>SIRT6</x:v>
      </x:c>
      <x:c r="B146" s="48" t="b">
        <x:f>IF(A146="","",COUNTIF($D$6:$D$181,A146)&gt;0)</x:f>
        <x:v>0</x:v>
      </x:c>
      <x:c r="C146" s="48" t="str">
        <x:f>IF(B146=TRUE,A146,"")</x:f>
      </x:c>
      <x:c r="D146" s="48" t="str">
        <x:v>PROM1</x:v>
      </x:c>
      <x:c r="E146" s="48" t="str"/>
      <x:c r="F146" s="48" t="str"/>
      <x:c r="G146" s="48" t="str"/>
      <x:c r="H146" s="2"/>
      <x:c r="I146" s="2"/>
      <x:c r="J146" s="2"/>
    </x:row>
    <x:row r="147" ht="22" customHeight="1">
      <x:c r="A147" s="48" t="str">
        <x:v>SLC16A1</x:v>
      </x:c>
      <x:c r="B147" s="48" t="b">
        <x:f>IF(A147="","",COUNTIF($D$6:$D$181,A147)&gt;0)</x:f>
        <x:v>0</x:v>
      </x:c>
      <x:c r="C147" s="48" t="str">
        <x:f>IF(B147=TRUE,A147,"")</x:f>
      </x:c>
      <x:c r="D147" s="48" t="str">
        <x:v>PROS1</x:v>
      </x:c>
      <x:c r="E147" s="48" t="str"/>
      <x:c r="F147" s="48" t="str"/>
      <x:c r="G147" s="48" t="str"/>
      <x:c r="H147" s="2"/>
      <x:c r="I147" s="2"/>
      <x:c r="J147" s="2"/>
    </x:row>
    <x:row r="148" ht="22" customHeight="1">
      <x:c r="A148" s="48" t="str">
        <x:v>SLC22A1</x:v>
      </x:c>
      <x:c r="B148" s="48" t="b">
        <x:f>IF(A148="","",COUNTIF($D$6:$D$181,A148)&gt;0)</x:f>
        <x:v>0</x:v>
      </x:c>
      <x:c r="C148" s="48" t="str">
        <x:f>IF(B148=TRUE,A148,"")</x:f>
      </x:c>
      <x:c r="D148" s="48" t="str">
        <x:v>PTGS2</x:v>
      </x:c>
      <x:c r="E148" s="48" t="str"/>
      <x:c r="F148" s="48" t="str"/>
      <x:c r="G148" s="48" t="str"/>
      <x:c r="H148" s="2"/>
      <x:c r="I148" s="2"/>
      <x:c r="J148" s="2"/>
    </x:row>
    <x:row r="149" ht="22" customHeight="1">
      <x:c r="A149" s="48" t="str">
        <x:v>SLC22A12</x:v>
      </x:c>
      <x:c r="B149" s="48" t="b">
        <x:f>IF(A149="","",COUNTIF($D$6:$D$181,A149)&gt;0)</x:f>
        <x:v>0</x:v>
      </x:c>
      <x:c r="C149" s="48" t="str">
        <x:f>IF(B149=TRUE,A149,"")</x:f>
      </x:c>
      <x:c r="D149" s="48" t="str">
        <x:v>RBP4</x:v>
      </x:c>
      <x:c r="E149" s="48" t="str"/>
      <x:c r="F149" s="48" t="str"/>
      <x:c r="G149" s="48" t="str"/>
      <x:c r="H149" s="2"/>
      <x:c r="I149" s="2"/>
      <x:c r="J149" s="2"/>
    </x:row>
    <x:row r="150" ht="22" customHeight="1">
      <x:c r="A150" s="48" t="str">
        <x:v>SLC22A2</x:v>
      </x:c>
      <x:c r="B150" s="48" t="b">
        <x:f>IF(A150="","",COUNTIF($D$6:$D$181,A150)&gt;0)</x:f>
        <x:v>0</x:v>
      </x:c>
      <x:c r="C150" s="48" t="str">
        <x:f>IF(B150=TRUE,A150,"")</x:f>
      </x:c>
      <x:c r="D150" s="48" t="str">
        <x:v>RETN</x:v>
      </x:c>
      <x:c r="E150" s="48" t="str"/>
      <x:c r="F150" s="48" t="str"/>
      <x:c r="G150" s="48" t="str"/>
      <x:c r="H150" s="2"/>
      <x:c r="I150" s="2"/>
      <x:c r="J150" s="2"/>
    </x:row>
    <x:row r="151" ht="22" customHeight="1">
      <x:c r="A151" s="48" t="str">
        <x:v>SLC47A2</x:v>
      </x:c>
      <x:c r="B151" s="48" t="b">
        <x:f>IF(A151="","",COUNTIF($D$6:$D$181,A151)&gt;0)</x:f>
        <x:v>0</x:v>
      </x:c>
      <x:c r="C151" s="48" t="str">
        <x:f>IF(B151=TRUE,A151,"")</x:f>
      </x:c>
      <x:c r="D151" s="48" t="str">
        <x:v>RIPK1</x:v>
      </x:c>
      <x:c r="E151" s="48" t="str"/>
      <x:c r="F151" s="48" t="str"/>
      <x:c r="G151" s="48" t="str"/>
      <x:c r="H151" s="2"/>
      <x:c r="I151" s="2"/>
      <x:c r="J151" s="2"/>
    </x:row>
    <x:row r="152" ht="22" customHeight="1">
      <x:c r="A152" s="48" t="str">
        <x:v>SLC5A2</x:v>
      </x:c>
      <x:c r="B152" s="48" t="b">
        <x:f>IF(A152="","",COUNTIF($D$6:$D$181,A152)&gt;0)</x:f>
        <x:v>0</x:v>
      </x:c>
      <x:c r="C152" s="48" t="str">
        <x:f>IF(B152=TRUE,A152,"")</x:f>
      </x:c>
      <x:c r="D152" s="48" t="str">
        <x:v>RIPK3</x:v>
      </x:c>
      <x:c r="E152" s="48" t="str"/>
      <x:c r="F152" s="48" t="str"/>
      <x:c r="G152" s="48" t="str"/>
      <x:c r="H152" s="2"/>
      <x:c r="I152" s="2"/>
      <x:c r="J152" s="2"/>
    </x:row>
    <x:row r="153" ht="22" customHeight="1">
      <x:c r="A153" s="48" t="str">
        <x:v>SLCO1B1</x:v>
      </x:c>
      <x:c r="B153" s="48" t="b">
        <x:f>IF(A153="","",COUNTIF($D$6:$D$181,A153)&gt;0)</x:f>
        <x:v>0</x:v>
      </x:c>
      <x:c r="C153" s="48" t="str">
        <x:f>IF(B153=TRUE,A153,"")</x:f>
      </x:c>
      <x:c r="D153" s="48" t="str">
        <x:v>RNF213</x:v>
      </x:c>
      <x:c r="E153" s="48" t="str"/>
      <x:c r="F153" s="48" t="str"/>
      <x:c r="G153" s="48" t="str"/>
      <x:c r="H153" s="2"/>
      <x:c r="I153" s="2"/>
      <x:c r="J153" s="2"/>
    </x:row>
    <x:row r="154" ht="22" customHeight="1">
      <x:c r="A154" s="48" t="str">
        <x:v>SLCO1B3</x:v>
      </x:c>
      <x:c r="B154" s="48" t="b">
        <x:f>IF(A154="","",COUNTIF($D$6:$D$181,A154)&gt;0)</x:f>
        <x:v>0</x:v>
      </x:c>
      <x:c r="C154" s="48" t="str">
        <x:f>IF(B154=TRUE,A154,"")</x:f>
      </x:c>
      <x:c r="D154" s="48" t="str">
        <x:v>ROCK2</x:v>
      </x:c>
      <x:c r="E154" s="48" t="str"/>
      <x:c r="F154" s="48" t="str"/>
      <x:c r="G154" s="48" t="str"/>
      <x:c r="H154" s="2"/>
      <x:c r="I154" s="2"/>
      <x:c r="J154" s="2"/>
    </x:row>
    <x:row r="155" ht="22" customHeight="1">
      <x:c r="A155" s="48" t="str">
        <x:v>SMARCA2</x:v>
      </x:c>
      <x:c r="B155" s="48" t="b">
        <x:f>IF(A155="","",COUNTIF($D$6:$D$181,A155)&gt;0)</x:f>
        <x:v>0</x:v>
      </x:c>
      <x:c r="C155" s="48" t="str">
        <x:f>IF(B155=TRUE,A155,"")</x:f>
      </x:c>
      <x:c r="D155" s="48" t="str">
        <x:v>S100A9</x:v>
      </x:c>
      <x:c r="E155" s="48" t="str"/>
      <x:c r="F155" s="48" t="str"/>
      <x:c r="G155" s="48" t="str"/>
      <x:c r="H155" s="2"/>
      <x:c r="I155" s="2"/>
      <x:c r="J155" s="2"/>
    </x:row>
    <x:row r="156" ht="22" customHeight="1">
      <x:c r="A156" s="48" t="str">
        <x:v>SMN1</x:v>
      </x:c>
      <x:c r="B156" s="48" t="b">
        <x:f>IF(A156="","",COUNTIF($D$6:$D$181,A156)&gt;0)</x:f>
        <x:v>0</x:v>
      </x:c>
      <x:c r="C156" s="48" t="str">
        <x:f>IF(B156=TRUE,A156,"")</x:f>
      </x:c>
      <x:c r="D156" s="48" t="str">
        <x:v>S100B</x:v>
      </x:c>
      <x:c r="E156" s="48" t="str"/>
      <x:c r="F156" s="48" t="str"/>
      <x:c r="G156" s="48" t="str"/>
      <x:c r="H156" s="2"/>
      <x:c r="I156" s="2"/>
      <x:c r="J156" s="2"/>
    </x:row>
    <x:row r="157" ht="22" customHeight="1">
      <x:c r="A157" s="48" t="str">
        <x:v>SMN2</x:v>
      </x:c>
      <x:c r="B157" s="48" t="b">
        <x:f>IF(A157="","",COUNTIF($D$6:$D$181,A157)&gt;0)</x:f>
        <x:v>0</x:v>
      </x:c>
      <x:c r="C157" s="48" t="str">
        <x:f>IF(B157=TRUE,A157,"")</x:f>
      </x:c>
      <x:c r="D157" s="48" t="str">
        <x:v>SAA1</x:v>
      </x:c>
      <x:c r="E157" s="48" t="str"/>
      <x:c r="F157" s="48" t="str"/>
      <x:c r="G157" s="48" t="str"/>
      <x:c r="H157" s="2"/>
      <x:c r="I157" s="2"/>
      <x:c r="J157" s="2"/>
    </x:row>
    <x:row r="158" ht="22" customHeight="1">
      <x:c r="A158" s="48" t="str">
        <x:v>SMPD1</x:v>
      </x:c>
      <x:c r="B158" s="48" t="b">
        <x:f>IF(A158="","",COUNTIF($D$6:$D$181,A158)&gt;0)</x:f>
        <x:v>0</x:v>
      </x:c>
      <x:c r="C158" s="48" t="str">
        <x:f>IF(B158=TRUE,A158,"")</x:f>
      </x:c>
      <x:c r="D158" s="48" t="str">
        <x:v>SDC1</x:v>
      </x:c>
      <x:c r="E158" s="48" t="str"/>
      <x:c r="F158" s="48" t="str"/>
      <x:c r="G158" s="48" t="str"/>
      <x:c r="H158" s="2"/>
      <x:c r="I158" s="2"/>
      <x:c r="J158" s="2"/>
    </x:row>
    <x:row r="159" ht="22" customHeight="1">
      <x:c r="A159" s="48" t="str">
        <x:v>SOAT1</x:v>
      </x:c>
      <x:c r="B159" s="48" t="b">
        <x:f>IF(A159="","",COUNTIF($D$6:$D$181,A159)&gt;0)</x:f>
        <x:v>0</x:v>
      </x:c>
      <x:c r="C159" s="48" t="str">
        <x:f>IF(B159=TRUE,A159,"")</x:f>
      </x:c>
      <x:c r="D159" s="48" t="str">
        <x:v>SERPINC1</x:v>
      </x:c>
      <x:c r="E159" s="48" t="str"/>
      <x:c r="F159" s="48" t="str"/>
      <x:c r="G159" s="48" t="str"/>
      <x:c r="H159" s="2"/>
      <x:c r="I159" s="2"/>
      <x:c r="J159" s="2"/>
    </x:row>
    <x:row r="160" ht="22" customHeight="1">
      <x:c r="A160" s="48" t="str">
        <x:v>SOAT2</x:v>
      </x:c>
      <x:c r="B160" s="48" t="b">
        <x:f>IF(A160="","",COUNTIF($D$6:$D$181,A160)&gt;0)</x:f>
        <x:v>0</x:v>
      </x:c>
      <x:c r="C160" s="48" t="str">
        <x:f>IF(B160=TRUE,A160,"")</x:f>
      </x:c>
      <x:c r="D160" s="48" t="str">
        <x:v>SERPINE1</x:v>
      </x:c>
      <x:c r="E160" s="48" t="str"/>
      <x:c r="F160" s="48" t="str"/>
      <x:c r="G160" s="48" t="str"/>
      <x:c r="H160" s="2"/>
      <x:c r="I160" s="2"/>
      <x:c r="J160" s="2"/>
    </x:row>
    <x:row r="161" ht="22" customHeight="1">
      <x:c r="A161" s="48" t="str">
        <x:v>SRC</x:v>
      </x:c>
      <x:c r="B161" s="48" t="b">
        <x:f>IF(A161="","",COUNTIF($D$6:$D$181,A161)&gt;0)</x:f>
        <x:v>0</x:v>
      </x:c>
      <x:c r="C161" s="48" t="str">
        <x:f>IF(B161=TRUE,A161,"")</x:f>
      </x:c>
      <x:c r="D161" s="48" t="str">
        <x:v>SIRT1</x:v>
      </x:c>
      <x:c r="E161" s="48" t="str"/>
      <x:c r="F161" s="48" t="str"/>
      <x:c r="G161" s="48" t="str"/>
      <x:c r="H161" s="2"/>
      <x:c r="I161" s="2"/>
      <x:c r="J161" s="2"/>
    </x:row>
    <x:row r="162" ht="22" customHeight="1">
      <x:c r="A162" s="48" t="str">
        <x:v>STING1</x:v>
      </x:c>
      <x:c r="B162" s="48" t="b">
        <x:f>IF(A162="","",COUNTIF($D$6:$D$181,A162)&gt;0)</x:f>
        <x:v>0</x:v>
      </x:c>
      <x:c r="C162" s="48" t="str">
        <x:f>IF(B162=TRUE,A162,"")</x:f>
      </x:c>
      <x:c r="D162" s="48" t="str">
        <x:v>SNCB</x:v>
      </x:c>
      <x:c r="E162" s="48" t="str"/>
      <x:c r="F162" s="48" t="str"/>
      <x:c r="G162" s="48" t="str"/>
      <x:c r="H162" s="2"/>
      <x:c r="I162" s="2"/>
      <x:c r="J162" s="2"/>
    </x:row>
    <x:row r="163" ht="22" customHeight="1">
      <x:c r="A163" s="48" t="str">
        <x:v>STK25</x:v>
      </x:c>
      <x:c r="B163" s="48" t="b">
        <x:f>IF(A163="","",COUNTIF($D$6:$D$181,A163)&gt;0)</x:f>
        <x:v>0</x:v>
      </x:c>
      <x:c r="C163" s="48" t="str">
        <x:f>IF(B163=TRUE,A163,"")</x:f>
      </x:c>
      <x:c r="D163" s="48" t="str">
        <x:v>SSTR2</x:v>
      </x:c>
      <x:c r="E163" s="48" t="str"/>
      <x:c r="F163" s="48" t="str"/>
      <x:c r="G163" s="48" t="str"/>
      <x:c r="H163" s="2"/>
      <x:c r="I163" s="2"/>
      <x:c r="J163" s="2"/>
    </x:row>
    <x:row r="164" ht="22" customHeight="1">
      <x:c r="A164" s="48" t="str">
        <x:v>STS</x:v>
      </x:c>
      <x:c r="B164" s="48" t="b">
        <x:f>IF(A164="","",COUNTIF($D$6:$D$181,A164)&gt;0)</x:f>
        <x:v>0</x:v>
      </x:c>
      <x:c r="C164" s="48" t="str">
        <x:f>IF(B164=TRUE,A164,"")</x:f>
      </x:c>
      <x:c r="D164" s="48" t="str">
        <x:v>STAT3</x:v>
      </x:c>
      <x:c r="E164" s="48" t="str"/>
      <x:c r="F164" s="48" t="str"/>
      <x:c r="G164" s="48" t="str"/>
      <x:c r="H164" s="2"/>
      <x:c r="I164" s="2"/>
      <x:c r="J164" s="2"/>
    </x:row>
    <x:row r="165" ht="22" customHeight="1">
      <x:c r="A165" s="48" t="str">
        <x:v>TAB1</x:v>
      </x:c>
      <x:c r="B165" s="48" t="b">
        <x:f>IF(A165="","",COUNTIF($D$6:$D$181,A165)&gt;0)</x:f>
        <x:v>0</x:v>
      </x:c>
      <x:c r="C165" s="48" t="str">
        <x:f>IF(B165=TRUE,A165,"")</x:f>
      </x:c>
      <x:c r="D165" s="48" t="str">
        <x:v>THBD</x:v>
      </x:c>
      <x:c r="E165" s="48" t="str"/>
      <x:c r="F165" s="48" t="str"/>
      <x:c r="G165" s="48" t="str"/>
      <x:c r="H165" s="2"/>
      <x:c r="I165" s="2"/>
      <x:c r="J165" s="2"/>
    </x:row>
    <x:row r="166" ht="22" customHeight="1">
      <x:c r="A166" s="48" t="str">
        <x:v>TBXAS1</x:v>
      </x:c>
      <x:c r="B166" s="48" t="b">
        <x:f>IF(A166="","",COUNTIF($D$6:$D$181,A166)&gt;0)</x:f>
        <x:v>0</x:v>
      </x:c>
      <x:c r="C166" s="48" t="str">
        <x:f>IF(B166=TRUE,A166,"")</x:f>
      </x:c>
      <x:c r="D166" s="48" t="str">
        <x:v>THBS1</x:v>
      </x:c>
      <x:c r="E166" s="48" t="str"/>
      <x:c r="F166" s="48" t="str"/>
      <x:c r="G166" s="48" t="str"/>
      <x:c r="H166" s="2"/>
      <x:c r="I166" s="2"/>
      <x:c r="J166" s="2"/>
    </x:row>
    <x:row r="167" ht="22" customHeight="1">
      <x:c r="A167" s="48" t="str">
        <x:v>TDP1</x:v>
      </x:c>
      <x:c r="B167" s="48" t="b">
        <x:f>IF(A167="","",COUNTIF($D$6:$D$181,A167)&gt;0)</x:f>
        <x:v>0</x:v>
      </x:c>
      <x:c r="C167" s="48" t="str">
        <x:f>IF(B167=TRUE,A167,"")</x:f>
      </x:c>
      <x:c r="D167" s="48" t="str">
        <x:v>TJP1</x:v>
      </x:c>
      <x:c r="E167" s="48" t="str"/>
      <x:c r="F167" s="48" t="str"/>
      <x:c r="G167" s="48" t="str"/>
      <x:c r="H167" s="2"/>
      <x:c r="I167" s="2"/>
      <x:c r="J167" s="2"/>
    </x:row>
    <x:row r="168" ht="22" customHeight="1">
      <x:c r="A168" s="48" t="str">
        <x:v>THRB</x:v>
      </x:c>
      <x:c r="B168" s="48" t="b">
        <x:f>IF(A168="","",COUNTIF($D$6:$D$181,A168)&gt;0)</x:f>
        <x:v>0</x:v>
      </x:c>
      <x:c r="C168" s="48" t="str">
        <x:f>IF(B168=TRUE,A168,"")</x:f>
      </x:c>
      <x:c r="D168" s="48" t="str">
        <x:v>TLR4</x:v>
      </x:c>
      <x:c r="E168" s="48" t="str"/>
      <x:c r="F168" s="48" t="str"/>
      <x:c r="G168" s="48" t="str"/>
      <x:c r="H168" s="2"/>
      <x:c r="I168" s="2"/>
      <x:c r="J168" s="2"/>
    </x:row>
    <x:row r="169" ht="22" customHeight="1">
      <x:c r="A169" s="48" t="str">
        <x:v>TNF</x:v>
      </x:c>
      <x:c r="B169" s="48" t="b">
        <x:f>IF(A169="","",COUNTIF($D$6:$D$181,A169)&gt;0)</x:f>
        <x:v>1</x:v>
      </x:c>
      <x:c r="C169" s="48" t="str">
        <x:f>IF(B169=TRUE,A169,"")</x:f>
        <x:v>TNF</x:v>
      </x:c>
      <x:c r="D169" s="48" t="str">
        <x:v>TNF</x:v>
      </x:c>
      <x:c r="E169" s="48" t="str"/>
      <x:c r="F169" s="48" t="str"/>
      <x:c r="G169" s="48" t="str"/>
      <x:c r="H169" s="2"/>
      <x:c r="I169" s="2"/>
      <x:c r="J169" s="2"/>
    </x:row>
    <x:row r="170" ht="22" customHeight="1">
      <x:c r="A170" s="48" t="str">
        <x:v>TOP1</x:v>
      </x:c>
      <x:c r="B170" s="48" t="b">
        <x:f>IF(A170="","",COUNTIF($D$6:$D$181,A170)&gt;0)</x:f>
        <x:v>0</x:v>
      </x:c>
      <x:c r="C170" s="48" t="str">
        <x:f>IF(B170=TRUE,A170,"")</x:f>
      </x:c>
      <x:c r="D170" s="48" t="str">
        <x:v>TNFRSF11B</x:v>
      </x:c>
      <x:c r="E170" s="48" t="str"/>
      <x:c r="F170" s="48" t="str"/>
      <x:c r="G170" s="48" t="str"/>
      <x:c r="H170" s="2"/>
      <x:c r="I170" s="2"/>
      <x:c r="J170" s="2"/>
    </x:row>
    <x:row r="171" ht="22" customHeight="1">
      <x:c r="A171" s="48" t="str">
        <x:v>TOP2A</x:v>
      </x:c>
      <x:c r="B171" s="48" t="b">
        <x:f>IF(A171="","",COUNTIF($D$6:$D$181,A171)&gt;0)</x:f>
        <x:v>0</x:v>
      </x:c>
      <x:c r="C171" s="48" t="str">
        <x:f>IF(B171=TRUE,A171,"")</x:f>
      </x:c>
      <x:c r="D171" s="48" t="str">
        <x:v>TNFSF10</x:v>
      </x:c>
      <x:c r="E171" s="48" t="str"/>
      <x:c r="F171" s="48" t="str"/>
      <x:c r="G171" s="48" t="str"/>
      <x:c r="H171" s="2"/>
      <x:c r="I171" s="2"/>
      <x:c r="J171" s="2"/>
    </x:row>
    <x:row r="172" ht="22" customHeight="1">
      <x:c r="A172" s="48" t="str">
        <x:v>TOP2B</x:v>
      </x:c>
      <x:c r="B172" s="48" t="b">
        <x:f>IF(A172="","",COUNTIF($D$6:$D$181,A172)&gt;0)</x:f>
        <x:v>0</x:v>
      </x:c>
      <x:c r="C172" s="48" t="str">
        <x:f>IF(B172=TRUE,A172,"")</x:f>
      </x:c>
      <x:c r="D172" s="48" t="str">
        <x:v>TNNI3</x:v>
      </x:c>
      <x:c r="E172" s="48" t="str"/>
      <x:c r="F172" s="48" t="str"/>
      <x:c r="G172" s="48" t="str"/>
      <x:c r="H172" s="2"/>
      <x:c r="I172" s="2"/>
      <x:c r="J172" s="2"/>
    </x:row>
    <x:row r="173" ht="22" customHeight="1">
      <x:c r="A173" s="48" t="str">
        <x:v>TRIM24</x:v>
      </x:c>
      <x:c r="B173" s="48" t="b">
        <x:f>IF(A173="","",COUNTIF($D$6:$D$181,A173)&gt;0)</x:f>
        <x:v>0</x:v>
      </x:c>
      <x:c r="C173" s="48" t="str">
        <x:f>IF(B173=TRUE,A173,"")</x:f>
      </x:c>
      <x:c r="D173" s="48" t="str">
        <x:v>TNNT2</x:v>
      </x:c>
      <x:c r="E173" s="48" t="str"/>
      <x:c r="F173" s="48" t="str"/>
      <x:c r="G173" s="48" t="str"/>
      <x:c r="H173" s="2"/>
      <x:c r="I173" s="2"/>
      <x:c r="J173" s="2"/>
    </x:row>
    <x:row r="174" ht="22" customHeight="1">
      <x:c r="A174" s="48" t="str">
        <x:v>TSHR</x:v>
      </x:c>
      <x:c r="B174" s="48" t="b">
        <x:f>IF(A174="","",COUNTIF($D$6:$D$181,A174)&gt;0)</x:f>
        <x:v>0</x:v>
      </x:c>
      <x:c r="C174" s="48" t="str">
        <x:f>IF(B174=TRUE,A174,"")</x:f>
      </x:c>
      <x:c r="D174" s="48" t="str">
        <x:v>TP53</x:v>
      </x:c>
      <x:c r="E174" s="48" t="str"/>
      <x:c r="F174" s="48" t="str"/>
      <x:c r="G174" s="48" t="str"/>
      <x:c r="H174" s="2"/>
      <x:c r="I174" s="2"/>
      <x:c r="J174" s="2"/>
    </x:row>
    <x:row r="175" ht="22" customHeight="1">
      <x:c r="A175" s="48" t="str">
        <x:v>TYR</x:v>
      </x:c>
      <x:c r="B175" s="48" t="b">
        <x:f>IF(A175="","",COUNTIF($D$6:$D$181,A175)&gt;0)</x:f>
        <x:v>0</x:v>
      </x:c>
      <x:c r="C175" s="48" t="str">
        <x:f>IF(B175=TRUE,A175,"")</x:f>
      </x:c>
      <x:c r="D175" s="48" t="str">
        <x:v>TREM1</x:v>
      </x:c>
      <x:c r="E175" s="48" t="str"/>
      <x:c r="F175" s="48" t="str"/>
      <x:c r="G175" s="48" t="str"/>
      <x:c r="H175" s="2"/>
      <x:c r="I175" s="2"/>
      <x:c r="J175" s="2"/>
    </x:row>
    <x:row r="176" ht="22" customHeight="1">
      <x:c r="A176" s="48" t="str">
        <x:v>VDR</x:v>
      </x:c>
      <x:c r="B176" s="48" t="b">
        <x:f>IF(A176="","",COUNTIF($D$6:$D$181,A176)&gt;0)</x:f>
        <x:v>0</x:v>
      </x:c>
      <x:c r="C176" s="48" t="str">
        <x:f>IF(B176=TRUE,A176,"")</x:f>
      </x:c>
      <x:c r="D176" s="48" t="str">
        <x:v>TREM2</x:v>
      </x:c>
      <x:c r="E176" s="48" t="str"/>
      <x:c r="F176" s="48" t="str"/>
      <x:c r="G176" s="48" t="str"/>
      <x:c r="H176" s="2"/>
      <x:c r="I176" s="2"/>
      <x:c r="J176" s="2"/>
    </x:row>
    <x:row r="177" ht="22" customHeight="1">
      <x:c r="A177" s="48" t="str"/>
      <x:c r="B177" s="48" t="str"/>
      <x:c r="C177" s="48" t="str"/>
      <x:c r="D177" s="48" t="str">
        <x:v>TREML1</x:v>
      </x:c>
      <x:c r="E177" s="48" t="str"/>
      <x:c r="F177" s="48" t="str"/>
      <x:c r="G177" s="48" t="str"/>
      <x:c r="H177" s="2"/>
      <x:c r="I177" s="2"/>
      <x:c r="J177" s="2"/>
    </x:row>
    <x:row r="178" ht="22" customHeight="1">
      <x:c r="A178" s="48" t="str"/>
      <x:c r="B178" s="48" t="str"/>
      <x:c r="C178" s="48" t="str"/>
      <x:c r="D178" s="48" t="str">
        <x:v>TREX1</x:v>
      </x:c>
      <x:c r="E178" s="48" t="str"/>
      <x:c r="F178" s="48" t="str"/>
      <x:c r="G178" s="48" t="str"/>
      <x:c r="H178" s="2"/>
      <x:c r="I178" s="2"/>
      <x:c r="J178" s="2"/>
    </x:row>
    <x:row r="179" ht="22" customHeight="1">
      <x:c r="A179" s="48" t="str"/>
      <x:c r="B179" s="48" t="str"/>
      <x:c r="C179" s="48" t="str"/>
      <x:c r="D179" s="48" t="str">
        <x:v>TXN</x:v>
      </x:c>
      <x:c r="E179" s="48" t="str"/>
      <x:c r="F179" s="48" t="str"/>
      <x:c r="G179" s="48" t="str"/>
      <x:c r="H179" s="2"/>
      <x:c r="I179" s="2"/>
      <x:c r="J179" s="2"/>
    </x:row>
    <x:row r="180" ht="22" customHeight="1">
      <x:c r="A180" s="48" t="str"/>
      <x:c r="B180" s="48" t="str"/>
      <x:c r="C180" s="48" t="str"/>
      <x:c r="D180" s="48" t="str">
        <x:v>VEGFA</x:v>
      </x:c>
      <x:c r="E180" s="48" t="str"/>
      <x:c r="F180" s="48" t="str"/>
      <x:c r="G180" s="48" t="str"/>
      <x:c r="H180" s="2"/>
      <x:c r="I180" s="2"/>
      <x:c r="J180" s="2"/>
    </x:row>
    <x:row r="181" ht="22" customHeight="1">
      <x:c r="A181" s="49" t="str"/>
      <x:c r="B181" s="49" t="str"/>
      <x:c r="C181" s="49" t="str"/>
      <x:c r="D181" s="49" t="str">
        <x:v>VWF</x:v>
      </x:c>
      <x:c r="E181" s="49" t="str"/>
      <x:c r="F181" s="49" t="str"/>
      <x:c r="G181" s="49" t="str"/>
      <x:c r="H181" s="2"/>
      <x:c r="I181" s="2"/>
      <x:c r="J181" s="2"/>
    </x:row>
  </x:sheetData>
  <x:mergeCells>
    <x:mergeCell ref="A1:J1"/>
    <x:mergeCell ref="A2:J2"/>
  </x:mergeCells>
  <x:conditionalFormatting sqref="I5:I5">
    <x:cfRule type="containsText" dxfId="12" priority="1" operator="containsText" text="PASS"/>
    <x:cfRule type="containsText" dxfId="13" priority="2" operator="containsText" text="FAIL"/>
  </x:conditionalFormatting>
  <x:conditionalFormatting sqref="B6:B176">
    <x:cfRule type="cellIs" dxfId="14" priority="3" operator="equal">
      <x:formula>TRUE</x:formula>
    </x:cfRule>
  </x:conditionalFormatting>
  <x:conditionalFormatting sqref="F6:F11">
    <x:cfRule type="cellIs" dxfId="15" priority="4" operator="equal">
      <x:formula>TRUE</x:formula>
    </x:cfRule>
  </x:conditionalFormatting>
  <x:conditionalFormatting sqref="G6:G11">
    <x:cfRule type="containsText" dxfId="16" priority="5" operator="containsText" text="PASS"/>
    <x:cfRule type="containsText" dxfId="17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33ae842a011341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9" hidden="0" customWidth="1"/>
    <x:col min="4" max="4" width="21" hidden="0" customWidth="1"/>
    <x:col min="5" max="5" width="28" hidden="0" customWidth="1"/>
    <x:col min="6" max="6" width="32" hidden="0" customWidth="1"/>
    <x:col min="7" max="7" width="14" hidden="0" customWidth="1"/>
    <x:col min="8" max="8" width="24" hidden="0" customWidth="1"/>
    <x:col min="9" max="9" width="16" hidden="0" customWidth="1"/>
    <x:col min="10" max="10" width="38" hidden="0" customWidth="1"/>
  </x:cols>
  <x:sheetData>
    <x:row r="1" ht="31" customHeight="1">
      <x:c r="A1" s="5" t="str">
        <x:v>L4_BroadExploratory — 公式审计与静态交集互证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7" customHeight="1">
      <x:c r="A2" s="9" t="str">
        <x:v>Bilobalide Extended_171 ∩ AIS BroadSensitivity_430；宽口径探索性敏感性分析；不得称为最终核心靶点。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3" customHeight="1">
      <x:c r="A3" s="13" t="str">
        <x:v>Drug n=171</x:v>
      </x:c>
      <x:c r="B3" s="13" t="str">
        <x:v>Bilobalide Extended_171</x:v>
      </x:c>
      <x:c r="C3" s="13" t="str">
        <x:v>AIS n=430</x:v>
      </x:c>
      <x:c r="D3" s="13" t="str">
        <x:v>AIS BroadSensitivity_430</x:v>
      </x:c>
      <x:c r="E3" s="13" t="str">
        <x:v>Verified n=16</x:v>
      </x:c>
      <x:c r="F3" s="13" t="str">
        <x:v>CTNNB1;F2;F2R;HIF1A;IL2;MIF;MYLK;NFE2L2;NFKB1;RELA;SIRT1;SIRT6;SLC5A2;SLCO1B1;SRC;TNF</x:v>
      </x:c>
      <x:c r="G3" s="13" t="str">
        <x:v>程序静态结果</x:v>
      </x:c>
      <x:c r="H3" s="33" t="str">
        <x:v>Row-formula count snapshot</x:v>
      </x:c>
      <x:c r="I3" s="36" t="n">
        <x:v>16</x:v>
      </x:c>
      <x:c r="J3" s="26" t="str">
        <x:v>COUNTIF(B6:B176,TRUE)</x:v>
      </x:c>
    </x:row>
    <x:row r="4" ht="23" customHeight="1">
      <x:c r="A4" s="2"/>
      <x:c r="B4" s="2"/>
      <x:c r="C4" s="2"/>
      <x:c r="D4" s="2"/>
      <x:c r="E4" s="2"/>
      <x:c r="F4" s="2"/>
      <x:c r="G4" s="2"/>
      <x:c r="H4" s="34" t="str">
        <x:v>Static verified count</x:v>
      </x:c>
      <x:c r="I4" s="37" t="n">
        <x:v>16</x:v>
      </x:c>
      <x:c r="J4" s="29" t="str">
        <x:v>COUNTIF(E6:E435,"?*")</x:v>
      </x:c>
    </x:row>
    <x:row r="5" ht="34" customHeight="1">
      <x:c r="A5" s="44" t="str">
        <x:v>Drug_Gene</x:v>
      </x:c>
      <x:c r="B5" s="45" t="str">
        <x:v>In_Disease_Set</x:v>
      </x:c>
      <x:c r="C5" s="45" t="str">
        <x:v>Formula_Intersection_Gene</x:v>
      </x:c>
      <x:c r="D5" s="45" t="str">
        <x:v>Disease_Gene</x:v>
      </x:c>
      <x:c r="E5" s="45" t="str">
        <x:v>Verified_Intersection_Gene</x:v>
      </x:c>
      <x:c r="F5" s="45" t="str">
        <x:v>Verified_Gene_In_Formula_Result</x:v>
      </x:c>
      <x:c r="G5" s="46" t="str">
        <x:v>Row_QC</x:v>
      </x:c>
      <x:c r="H5" s="35" t="str">
        <x:v>Row audit QC snapshot</x:v>
      </x:c>
      <x:c r="I5" s="31" t="str">
        <x:v>PASS</x:v>
      </x:c>
      <x:c r="J5" s="32" t="str">
        <x:v>逐行B/C/F/G为活公式；本区为冻结快照</x:v>
      </x:c>
    </x:row>
    <x:row r="6" ht="22" customHeight="1">
      <x:c r="A6" s="47" t="str">
        <x:v>ABCB11</x:v>
      </x:c>
      <x:c r="B6" s="47" t="b">
        <x:f>IF(A6="","",COUNTIF($D$6:$D$435,A6)&gt;0)</x:f>
        <x:v>0</x:v>
      </x:c>
      <x:c r="C6" s="47" t="str">
        <x:f>IF(B6=TRUE,A6,"")</x:f>
      </x:c>
      <x:c r="D6" s="47" t="str">
        <x:v>A2M</x:v>
      </x:c>
      <x:c r="E6" s="47" t="str">
        <x:v>CTNNB1</x:v>
      </x:c>
      <x:c r="F6" s="47" t="b">
        <x:f>IF(E6="","",COUNTIF($C$6:$C$176,E6)&gt;0)</x:f>
        <x:v>1</x:v>
      </x:c>
      <x:c r="G6" s="47" t="str">
        <x:f>IF(E6="","",IF(F6=TRUE,"PASS","FAIL"))</x:f>
        <x:v>PASS</x:v>
      </x:c>
      <x:c r="H6" s="2"/>
      <x:c r="I6" s="2"/>
      <x:c r="J6" s="2"/>
    </x:row>
    <x:row r="7" ht="22" customHeight="1">
      <x:c r="A7" s="48" t="str">
        <x:v>ABCC9</x:v>
      </x:c>
      <x:c r="B7" s="48" t="b">
        <x:f>IF(A7="","",COUNTIF($D$6:$D$435,A7)&gt;0)</x:f>
        <x:v>0</x:v>
      </x:c>
      <x:c r="C7" s="48" t="str">
        <x:f>IF(B7=TRUE,A7,"")</x:f>
      </x:c>
      <x:c r="D7" s="48" t="str">
        <x:v>ABCB1</x:v>
      </x:c>
      <x:c r="E7" s="48" t="str">
        <x:v>F2</x:v>
      </x:c>
      <x:c r="F7" s="48" t="b">
        <x:f>IF(E7="","",COUNTIF($C$6:$C$176,E7)&gt;0)</x:f>
        <x:v>1</x:v>
      </x:c>
      <x:c r="G7" s="48" t="str">
        <x:f>IF(E7="","",IF(F7=TRUE,"PASS","FAIL"))</x:f>
        <x:v>PASS</x:v>
      </x:c>
      <x:c r="H7" s="2"/>
      <x:c r="I7" s="2"/>
      <x:c r="J7" s="2"/>
    </x:row>
    <x:row r="8" ht="22" customHeight="1">
      <x:c r="A8" s="48" t="str">
        <x:v>ACACA</x:v>
      </x:c>
      <x:c r="B8" s="48" t="b">
        <x:f>IF(A8="","",COUNTIF($D$6:$D$435,A8)&gt;0)</x:f>
        <x:v>0</x:v>
      </x:c>
      <x:c r="C8" s="48" t="str">
        <x:f>IF(B8=TRUE,A8,"")</x:f>
      </x:c>
      <x:c r="D8" s="48" t="str">
        <x:v>ABCB5</x:v>
      </x:c>
      <x:c r="E8" s="48" t="str">
        <x:v>F2R</x:v>
      </x:c>
      <x:c r="F8" s="48" t="b">
        <x:f>IF(E8="","",COUNTIF($C$6:$C$176,E8)&gt;0)</x:f>
        <x:v>1</x:v>
      </x:c>
      <x:c r="G8" s="48" t="str">
        <x:f>IF(E8="","",IF(F8=TRUE,"PASS","FAIL"))</x:f>
        <x:v>PASS</x:v>
      </x:c>
      <x:c r="H8" s="2"/>
      <x:c r="I8" s="2"/>
      <x:c r="J8" s="2"/>
    </x:row>
    <x:row r="9" ht="22" customHeight="1">
      <x:c r="A9" s="48" t="str">
        <x:v>ACACB</x:v>
      </x:c>
      <x:c r="B9" s="48" t="b">
        <x:f>IF(A9="","",COUNTIF($D$6:$D$435,A9)&gt;0)</x:f>
        <x:v>0</x:v>
      </x:c>
      <x:c r="C9" s="48" t="str">
        <x:f>IF(B9=TRUE,A9,"")</x:f>
      </x:c>
      <x:c r="D9" s="48" t="str">
        <x:v>ABCC8</x:v>
      </x:c>
      <x:c r="E9" s="48" t="str">
        <x:v>HIF1A</x:v>
      </x:c>
      <x:c r="F9" s="48" t="b">
        <x:f>IF(E9="","",COUNTIF($C$6:$C$176,E9)&gt;0)</x:f>
        <x:v>1</x:v>
      </x:c>
      <x:c r="G9" s="48" t="str">
        <x:f>IF(E9="","",IF(F9=TRUE,"PASS","FAIL"))</x:f>
        <x:v>PASS</x:v>
      </x:c>
      <x:c r="H9" s="2"/>
      <x:c r="I9" s="2"/>
      <x:c r="J9" s="2"/>
    </x:row>
    <x:row r="10" ht="22" customHeight="1">
      <x:c r="A10" s="48" t="str">
        <x:v>ACHE</x:v>
      </x:c>
      <x:c r="B10" s="48" t="b">
        <x:f>IF(A10="","",COUNTIF($D$6:$D$435,A10)&gt;0)</x:f>
        <x:v>0</x:v>
      </x:c>
      <x:c r="C10" s="48" t="str">
        <x:f>IF(B10=TRUE,A10,"")</x:f>
      </x:c>
      <x:c r="D10" s="48" t="str">
        <x:v>ACE</x:v>
      </x:c>
      <x:c r="E10" s="48" t="str">
        <x:v>IL2</x:v>
      </x:c>
      <x:c r="F10" s="48" t="b">
        <x:f>IF(E10="","",COUNTIF($C$6:$C$176,E10)&gt;0)</x:f>
        <x:v>1</x:v>
      </x:c>
      <x:c r="G10" s="48" t="str">
        <x:f>IF(E10="","",IF(F10=TRUE,"PASS","FAIL"))</x:f>
        <x:v>PASS</x:v>
      </x:c>
      <x:c r="H10" s="2"/>
      <x:c r="I10" s="2"/>
      <x:c r="J10" s="2"/>
    </x:row>
    <x:row r="11" ht="22" customHeight="1">
      <x:c r="A11" s="48" t="str">
        <x:v>ADK</x:v>
      </x:c>
      <x:c r="B11" s="48" t="b">
        <x:f>IF(A11="","",COUNTIF($D$6:$D$435,A11)&gt;0)</x:f>
        <x:v>0</x:v>
      </x:c>
      <x:c r="C11" s="48" t="str">
        <x:f>IF(B11=TRUE,A11,"")</x:f>
      </x:c>
      <x:c r="D11" s="48" t="str">
        <x:v>ACE2</x:v>
      </x:c>
      <x:c r="E11" s="48" t="str">
        <x:v>MIF</x:v>
      </x:c>
      <x:c r="F11" s="48" t="b">
        <x:f>IF(E11="","",COUNTIF($C$6:$C$176,E11)&gt;0)</x:f>
        <x:v>1</x:v>
      </x:c>
      <x:c r="G11" s="48" t="str">
        <x:f>IF(E11="","",IF(F11=TRUE,"PASS","FAIL"))</x:f>
        <x:v>PASS</x:v>
      </x:c>
      <x:c r="H11" s="2"/>
      <x:c r="I11" s="2"/>
      <x:c r="J11" s="2"/>
    </x:row>
    <x:row r="12" ht="22" customHeight="1">
      <x:c r="A12" s="48" t="str">
        <x:v>ADORA2A</x:v>
      </x:c>
      <x:c r="B12" s="48" t="b">
        <x:f>IF(A12="","",COUNTIF($D$6:$D$435,A12)&gt;0)</x:f>
        <x:v>0</x:v>
      </x:c>
      <x:c r="C12" s="48" t="str">
        <x:f>IF(B12=TRUE,A12,"")</x:f>
      </x:c>
      <x:c r="D12" s="48" t="str">
        <x:v>ACKR3</x:v>
      </x:c>
      <x:c r="E12" s="48" t="str">
        <x:v>MYLK</x:v>
      </x:c>
      <x:c r="F12" s="48" t="b">
        <x:f>IF(E12="","",COUNTIF($C$6:$C$176,E12)&gt;0)</x:f>
        <x:v>1</x:v>
      </x:c>
      <x:c r="G12" s="48" t="str">
        <x:f>IF(E12="","",IF(F12=TRUE,"PASS","FAIL"))</x:f>
        <x:v>PASS</x:v>
      </x:c>
      <x:c r="H12" s="2"/>
      <x:c r="I12" s="2"/>
      <x:c r="J12" s="2"/>
    </x:row>
    <x:row r="13" ht="22" customHeight="1">
      <x:c r="A13" s="48" t="str">
        <x:v>AKR1B1</x:v>
      </x:c>
      <x:c r="B13" s="48" t="b">
        <x:f>IF(A13="","",COUNTIF($D$6:$D$435,A13)&gt;0)</x:f>
        <x:v>0</x:v>
      </x:c>
      <x:c r="C13" s="48" t="str">
        <x:f>IF(B13=TRUE,A13,"")</x:f>
      </x:c>
      <x:c r="D13" s="48" t="str">
        <x:v>ACSL4</x:v>
      </x:c>
      <x:c r="E13" s="48" t="str">
        <x:v>NFE2L2</x:v>
      </x:c>
      <x:c r="F13" s="48" t="b">
        <x:f>IF(E13="","",COUNTIF($C$6:$C$176,E13)&gt;0)</x:f>
        <x:v>1</x:v>
      </x:c>
      <x:c r="G13" s="48" t="str">
        <x:f>IF(E13="","",IF(F13=TRUE,"PASS","FAIL"))</x:f>
        <x:v>PASS</x:v>
      </x:c>
      <x:c r="H13" s="2"/>
      <x:c r="I13" s="2"/>
      <x:c r="J13" s="2"/>
    </x:row>
    <x:row r="14" ht="22" customHeight="1">
      <x:c r="A14" s="48" t="str">
        <x:v>AKR1C3</x:v>
      </x:c>
      <x:c r="B14" s="48" t="b">
        <x:f>IF(A14="","",COUNTIF($D$6:$D$435,A14)&gt;0)</x:f>
        <x:v>0</x:v>
      </x:c>
      <x:c r="C14" s="48" t="str">
        <x:f>IF(B14=TRUE,A14,"")</x:f>
      </x:c>
      <x:c r="D14" s="48" t="str">
        <x:v>ACTA2</x:v>
      </x:c>
      <x:c r="E14" s="48" t="str">
        <x:v>NFKB1</x:v>
      </x:c>
      <x:c r="F14" s="48" t="b">
        <x:f>IF(E14="","",COUNTIF($C$6:$C$176,E14)&gt;0)</x:f>
        <x:v>1</x:v>
      </x:c>
      <x:c r="G14" s="48" t="str">
        <x:f>IF(E14="","",IF(F14=TRUE,"PASS","FAIL"))</x:f>
        <x:v>PASS</x:v>
      </x:c>
      <x:c r="H14" s="2"/>
      <x:c r="I14" s="2"/>
      <x:c r="J14" s="2"/>
    </x:row>
    <x:row r="15" ht="22" customHeight="1">
      <x:c r="A15" s="48" t="str">
        <x:v>ALOX15</x:v>
      </x:c>
      <x:c r="B15" s="48" t="b">
        <x:f>IF(A15="","",COUNTIF($D$6:$D$435,A15)&gt;0)</x:f>
        <x:v>0</x:v>
      </x:c>
      <x:c r="C15" s="48" t="str">
        <x:f>IF(B15=TRUE,A15,"")</x:f>
      </x:c>
      <x:c r="D15" s="48" t="str">
        <x:v>ACVRL1</x:v>
      </x:c>
      <x:c r="E15" s="48" t="str">
        <x:v>RELA</x:v>
      </x:c>
      <x:c r="F15" s="48" t="b">
        <x:f>IF(E15="","",COUNTIF($C$6:$C$176,E15)&gt;0)</x:f>
        <x:v>1</x:v>
      </x:c>
      <x:c r="G15" s="48" t="str">
        <x:f>IF(E15="","",IF(F15=TRUE,"PASS","FAIL"))</x:f>
        <x:v>PASS</x:v>
      </x:c>
      <x:c r="H15" s="2"/>
      <x:c r="I15" s="2"/>
      <x:c r="J15" s="2"/>
    </x:row>
    <x:row r="16" ht="22" customHeight="1">
      <x:c r="A16" s="48" t="str">
        <x:v>AMY1A</x:v>
      </x:c>
      <x:c r="B16" s="48" t="b">
        <x:f>IF(A16="","",COUNTIF($D$6:$D$435,A16)&gt;0)</x:f>
        <x:v>0</x:v>
      </x:c>
      <x:c r="C16" s="48" t="str">
        <x:f>IF(B16=TRUE,A16,"")</x:f>
      </x:c>
      <x:c r="D16" s="48" t="str">
        <x:v>ADA</x:v>
      </x:c>
      <x:c r="E16" s="48" t="str">
        <x:v>SIRT1</x:v>
      </x:c>
      <x:c r="F16" s="48" t="b">
        <x:f>IF(E16="","",COUNTIF($C$6:$C$176,E16)&gt;0)</x:f>
        <x:v>1</x:v>
      </x:c>
      <x:c r="G16" s="48" t="str">
        <x:f>IF(E16="","",IF(F16=TRUE,"PASS","FAIL"))</x:f>
        <x:v>PASS</x:v>
      </x:c>
      <x:c r="H16" s="2"/>
      <x:c r="I16" s="2"/>
      <x:c r="J16" s="2"/>
    </x:row>
    <x:row r="17" ht="22" customHeight="1">
      <x:c r="A17" s="48" t="str">
        <x:v>ANG</x:v>
      </x:c>
      <x:c r="B17" s="48" t="b">
        <x:f>IF(A17="","",COUNTIF($D$6:$D$435,A17)&gt;0)</x:f>
        <x:v>0</x:v>
      </x:c>
      <x:c r="C17" s="48" t="str">
        <x:f>IF(B17=TRUE,A17,"")</x:f>
      </x:c>
      <x:c r="D17" s="48" t="str">
        <x:v>ADA2</x:v>
      </x:c>
      <x:c r="E17" s="48" t="str">
        <x:v>SIRT6</x:v>
      </x:c>
      <x:c r="F17" s="48" t="b">
        <x:f>IF(E17="","",COUNTIF($C$6:$C$176,E17)&gt;0)</x:f>
        <x:v>1</x:v>
      </x:c>
      <x:c r="G17" s="48" t="str">
        <x:f>IF(E17="","",IF(F17=TRUE,"PASS","FAIL"))</x:f>
        <x:v>PASS</x:v>
      </x:c>
      <x:c r="H17" s="2"/>
      <x:c r="I17" s="2"/>
      <x:c r="J17" s="2"/>
    </x:row>
    <x:row r="18" ht="22" customHeight="1">
      <x:c r="A18" s="48" t="str">
        <x:v>APEX1</x:v>
      </x:c>
      <x:c r="B18" s="48" t="b">
        <x:f>IF(A18="","",COUNTIF($D$6:$D$435,A18)&gt;0)</x:f>
        <x:v>0</x:v>
      </x:c>
      <x:c r="C18" s="48" t="str">
        <x:f>IF(B18=TRUE,A18,"")</x:f>
      </x:c>
      <x:c r="D18" s="48" t="str">
        <x:v>ADAM23</x:v>
      </x:c>
      <x:c r="E18" s="48" t="str">
        <x:v>SLC5A2</x:v>
      </x:c>
      <x:c r="F18" s="48" t="b">
        <x:f>IF(E18="","",COUNTIF($C$6:$C$176,E18)&gt;0)</x:f>
        <x:v>1</x:v>
      </x:c>
      <x:c r="G18" s="48" t="str">
        <x:f>IF(E18="","",IF(F18=TRUE,"PASS","FAIL"))</x:f>
        <x:v>PASS</x:v>
      </x:c>
      <x:c r="H18" s="2"/>
      <x:c r="I18" s="2"/>
      <x:c r="J18" s="2"/>
    </x:row>
    <x:row r="19" ht="22" customHeight="1">
      <x:c r="A19" s="48" t="str">
        <x:v>AR</x:v>
      </x:c>
      <x:c r="B19" s="48" t="b">
        <x:f>IF(A19="","",COUNTIF($D$6:$D$435,A19)&gt;0)</x:f>
        <x:v>0</x:v>
      </x:c>
      <x:c r="C19" s="48" t="str">
        <x:f>IF(B19=TRUE,A19,"")</x:f>
      </x:c>
      <x:c r="D19" s="48" t="str">
        <x:v>ADAMTS13</x:v>
      </x:c>
      <x:c r="E19" s="48" t="str">
        <x:v>SLCO1B1</x:v>
      </x:c>
      <x:c r="F19" s="48" t="b">
        <x:f>IF(E19="","",COUNTIF($C$6:$C$176,E19)&gt;0)</x:f>
        <x:v>1</x:v>
      </x:c>
      <x:c r="G19" s="48" t="str">
        <x:f>IF(E19="","",IF(F19=TRUE,"PASS","FAIL"))</x:f>
        <x:v>PASS</x:v>
      </x:c>
      <x:c r="H19" s="2"/>
      <x:c r="I19" s="2"/>
      <x:c r="J19" s="2"/>
    </x:row>
    <x:row r="20" ht="22" customHeight="1">
      <x:c r="A20" s="48" t="str">
        <x:v>BACE1</x:v>
      </x:c>
      <x:c r="B20" s="48" t="b">
        <x:f>IF(A20="","",COUNTIF($D$6:$D$435,A20)&gt;0)</x:f>
        <x:v>0</x:v>
      </x:c>
      <x:c r="C20" s="48" t="str">
        <x:f>IF(B20=TRUE,A20,"")</x:f>
      </x:c>
      <x:c r="D20" s="48" t="str">
        <x:v>ADAMTS9</x:v>
      </x:c>
      <x:c r="E20" s="48" t="str">
        <x:v>SRC</x:v>
      </x:c>
      <x:c r="F20" s="48" t="b">
        <x:f>IF(E20="","",COUNTIF($C$6:$C$176,E20)&gt;0)</x:f>
        <x:v>1</x:v>
      </x:c>
      <x:c r="G20" s="48" t="str">
        <x:f>IF(E20="","",IF(F20=TRUE,"PASS","FAIL"))</x:f>
        <x:v>PASS</x:v>
      </x:c>
      <x:c r="H20" s="2"/>
      <x:c r="I20" s="2"/>
      <x:c r="J20" s="2"/>
    </x:row>
    <x:row r="21" ht="22" customHeight="1">
      <x:c r="A21" s="48" t="str">
        <x:v>BCHE</x:v>
      </x:c>
      <x:c r="B21" s="48" t="b">
        <x:f>IF(A21="","",COUNTIF($D$6:$D$435,A21)&gt;0)</x:f>
        <x:v>0</x:v>
      </x:c>
      <x:c r="C21" s="48" t="str">
        <x:f>IF(B21=TRUE,A21,"")</x:f>
      </x:c>
      <x:c r="D21" s="48" t="str">
        <x:v>ADIPOQ</x:v>
      </x:c>
      <x:c r="E21" s="48" t="str">
        <x:v>TNF</x:v>
      </x:c>
      <x:c r="F21" s="48" t="b">
        <x:f>IF(E21="","",COUNTIF($C$6:$C$176,E21)&gt;0)</x:f>
        <x:v>1</x:v>
      </x:c>
      <x:c r="G21" s="48" t="str">
        <x:f>IF(E21="","",IF(F21=TRUE,"PASS","FAIL"))</x:f>
        <x:v>PASS</x:v>
      </x:c>
      <x:c r="H21" s="2"/>
      <x:c r="I21" s="2"/>
      <x:c r="J21" s="2"/>
    </x:row>
    <x:row r="22" ht="22" customHeight="1">
      <x:c r="A22" s="48" t="str">
        <x:v>BCL2A1</x:v>
      </x:c>
      <x:c r="B22" s="48" t="b">
        <x:f>IF(A22="","",COUNTIF($D$6:$D$435,A22)&gt;0)</x:f>
        <x:v>0</x:v>
      </x:c>
      <x:c r="C22" s="48" t="str">
        <x:f>IF(B22=TRUE,A22,"")</x:f>
      </x:c>
      <x:c r="D22" s="48" t="str">
        <x:v>ADM</x:v>
      </x:c>
      <x:c r="E22" s="48" t="str"/>
      <x:c r="F22" s="48" t="str"/>
      <x:c r="G22" s="48" t="str"/>
      <x:c r="H22" s="2"/>
      <x:c r="I22" s="2"/>
      <x:c r="J22" s="2"/>
    </x:row>
    <x:row r="23" ht="22" customHeight="1">
      <x:c r="A23" s="48" t="str">
        <x:v>BTN3A1</x:v>
      </x:c>
      <x:c r="B23" s="48" t="b">
        <x:f>IF(A23="","",COUNTIF($D$6:$D$435,A23)&gt;0)</x:f>
        <x:v>0</x:v>
      </x:c>
      <x:c r="C23" s="48" t="str">
        <x:f>IF(B23=TRUE,A23,"")</x:f>
      </x:c>
      <x:c r="D23" s="48" t="str">
        <x:v>ADORA3</x:v>
      </x:c>
      <x:c r="E23" s="48" t="str"/>
      <x:c r="F23" s="48" t="str"/>
      <x:c r="G23" s="48" t="str"/>
      <x:c r="H23" s="2"/>
      <x:c r="I23" s="2"/>
      <x:c r="J23" s="2"/>
    </x:row>
    <x:row r="24" ht="22" customHeight="1">
      <x:c r="A24" s="48" t="str">
        <x:v>CA1</x:v>
      </x:c>
      <x:c r="B24" s="48" t="b">
        <x:f>IF(A24="","",COUNTIF($D$6:$D$435,A24)&gt;0)</x:f>
        <x:v>0</x:v>
      </x:c>
      <x:c r="C24" s="48" t="str">
        <x:f>IF(B24=TRUE,A24,"")</x:f>
      </x:c>
      <x:c r="D24" s="48" t="str">
        <x:v>ADRA2A</x:v>
      </x:c>
      <x:c r="E24" s="48" t="str"/>
      <x:c r="F24" s="48" t="str"/>
      <x:c r="G24" s="48" t="str"/>
      <x:c r="H24" s="2"/>
      <x:c r="I24" s="2"/>
      <x:c r="J24" s="2"/>
    </x:row>
    <x:row r="25" ht="22" customHeight="1">
      <x:c r="A25" s="48" t="str">
        <x:v>CA12</x:v>
      </x:c>
      <x:c r="B25" s="48" t="b">
        <x:f>IF(A25="","",COUNTIF($D$6:$D$435,A25)&gt;0)</x:f>
        <x:v>0</x:v>
      </x:c>
      <x:c r="C25" s="48" t="str">
        <x:f>IF(B25=TRUE,A25,"")</x:f>
      </x:c>
      <x:c r="D25" s="48" t="str">
        <x:v>AGER</x:v>
      </x:c>
      <x:c r="E25" s="48" t="str"/>
      <x:c r="F25" s="48" t="str"/>
      <x:c r="G25" s="48" t="str"/>
      <x:c r="H25" s="2"/>
      <x:c r="I25" s="2"/>
      <x:c r="J25" s="2"/>
    </x:row>
    <x:row r="26" ht="22" customHeight="1">
      <x:c r="A26" s="48" t="str">
        <x:v>CA2</x:v>
      </x:c>
      <x:c r="B26" s="48" t="b">
        <x:f>IF(A26="","",COUNTIF($D$6:$D$435,A26)&gt;0)</x:f>
        <x:v>0</x:v>
      </x:c>
      <x:c r="C26" s="48" t="str">
        <x:f>IF(B26=TRUE,A26,"")</x:f>
      </x:c>
      <x:c r="D26" s="48" t="str">
        <x:v>AHR</x:v>
      </x:c>
      <x:c r="E26" s="48" t="str"/>
      <x:c r="F26" s="48" t="str"/>
      <x:c r="G26" s="48" t="str"/>
      <x:c r="H26" s="2"/>
      <x:c r="I26" s="2"/>
      <x:c r="J26" s="2"/>
    </x:row>
    <x:row r="27" ht="22" customHeight="1">
      <x:c r="A27" s="48" t="str">
        <x:v>CA3</x:v>
      </x:c>
      <x:c r="B27" s="48" t="b">
        <x:f>IF(A27="","",COUNTIF($D$6:$D$435,A27)&gt;0)</x:f>
        <x:v>0</x:v>
      </x:c>
      <x:c r="C27" s="48" t="str">
        <x:f>IF(B27=TRUE,A27,"")</x:f>
      </x:c>
      <x:c r="D27" s="48" t="str">
        <x:v>AHSG</x:v>
      </x:c>
      <x:c r="E27" s="48" t="str"/>
      <x:c r="F27" s="48" t="str"/>
      <x:c r="G27" s="48" t="str"/>
      <x:c r="H27" s="2"/>
      <x:c r="I27" s="2"/>
      <x:c r="J27" s="2"/>
    </x:row>
    <x:row r="28" ht="22" customHeight="1">
      <x:c r="A28" s="48" t="str">
        <x:v>CACNA1B</x:v>
      </x:c>
      <x:c r="B28" s="48" t="b">
        <x:f>IF(A28="","",COUNTIF($D$6:$D$435,A28)&gt;0)</x:f>
        <x:v>0</x:v>
      </x:c>
      <x:c r="C28" s="48" t="str">
        <x:f>IF(B28=TRUE,A28,"")</x:f>
      </x:c>
      <x:c r="D28" s="48" t="str">
        <x:v>ALB</x:v>
      </x:c>
      <x:c r="E28" s="48" t="str"/>
      <x:c r="F28" s="48" t="str"/>
      <x:c r="G28" s="48" t="str"/>
      <x:c r="H28" s="2"/>
      <x:c r="I28" s="2"/>
      <x:c r="J28" s="2"/>
    </x:row>
    <x:row r="29" ht="22" customHeight="1">
      <x:c r="A29" s="48" t="str">
        <x:v>CASP1</x:v>
      </x:c>
      <x:c r="B29" s="48" t="b">
        <x:f>IF(A29="","",COUNTIF($D$6:$D$435,A29)&gt;0)</x:f>
        <x:v>0</x:v>
      </x:c>
      <x:c r="C29" s="48" t="str">
        <x:f>IF(B29=TRUE,A29,"")</x:f>
      </x:c>
      <x:c r="D29" s="48" t="str">
        <x:v>ALCAM</x:v>
      </x:c>
      <x:c r="E29" s="48" t="str"/>
      <x:c r="F29" s="48" t="str"/>
      <x:c r="G29" s="48" t="str"/>
      <x:c r="H29" s="2"/>
      <x:c r="I29" s="2"/>
      <x:c r="J29" s="2"/>
    </x:row>
    <x:row r="30" ht="22" customHeight="1">
      <x:c r="A30" s="48" t="str">
        <x:v>CASP8</x:v>
      </x:c>
      <x:c r="B30" s="48" t="b">
        <x:f>IF(A30="","",COUNTIF($D$6:$D$435,A30)&gt;0)</x:f>
        <x:v>0</x:v>
      </x:c>
      <x:c r="C30" s="48" t="str">
        <x:f>IF(B30=TRUE,A30,"")</x:f>
      </x:c>
      <x:c r="D30" s="48" t="str">
        <x:v>ALOX12</x:v>
      </x:c>
      <x:c r="E30" s="48" t="str"/>
      <x:c r="F30" s="48" t="str"/>
      <x:c r="G30" s="48" t="str"/>
      <x:c r="H30" s="2"/>
      <x:c r="I30" s="2"/>
      <x:c r="J30" s="2"/>
    </x:row>
    <x:row r="31" ht="22" customHeight="1">
      <x:c r="A31" s="48" t="str">
        <x:v>CBX1</x:v>
      </x:c>
      <x:c r="B31" s="48" t="b">
        <x:f>IF(A31="","",COUNTIF($D$6:$D$435,A31)&gt;0)</x:f>
        <x:v>0</x:v>
      </x:c>
      <x:c r="C31" s="48" t="str">
        <x:f>IF(B31=TRUE,A31,"")</x:f>
      </x:c>
      <x:c r="D31" s="48" t="str">
        <x:v>ALOX5AP</x:v>
      </x:c>
      <x:c r="E31" s="48" t="str"/>
      <x:c r="F31" s="48" t="str"/>
      <x:c r="G31" s="48" t="str"/>
      <x:c r="H31" s="2"/>
      <x:c r="I31" s="2"/>
      <x:c r="J31" s="2"/>
    </x:row>
    <x:row r="32" ht="22" customHeight="1">
      <x:c r="A32" s="48" t="str">
        <x:v>CDK19</x:v>
      </x:c>
      <x:c r="B32" s="48" t="b">
        <x:f>IF(A32="","",COUNTIF($D$6:$D$435,A32)&gt;0)</x:f>
        <x:v>0</x:v>
      </x:c>
      <x:c r="C32" s="48" t="str">
        <x:f>IF(B32=TRUE,A32,"")</x:f>
      </x:c>
      <x:c r="D32" s="48" t="str">
        <x:v>ALPL</x:v>
      </x:c>
      <x:c r="E32" s="48" t="str"/>
      <x:c r="F32" s="48" t="str"/>
      <x:c r="G32" s="48" t="str"/>
      <x:c r="H32" s="2"/>
      <x:c r="I32" s="2"/>
      <x:c r="J32" s="2"/>
    </x:row>
    <x:row r="33" ht="22" customHeight="1">
      <x:c r="A33" s="48" t="str">
        <x:v>CDK2</x:v>
      </x:c>
      <x:c r="B33" s="48" t="b">
        <x:f>IF(A33="","",COUNTIF($D$6:$D$435,A33)&gt;0)</x:f>
        <x:v>0</x:v>
      </x:c>
      <x:c r="C33" s="48" t="str">
        <x:f>IF(B33=TRUE,A33,"")</x:f>
      </x:c>
      <x:c r="D33" s="48" t="str">
        <x:v>ANGPTL4</x:v>
      </x:c>
      <x:c r="E33" s="48" t="str"/>
      <x:c r="F33" s="48" t="str"/>
      <x:c r="G33" s="48" t="str"/>
      <x:c r="H33" s="2"/>
      <x:c r="I33" s="2"/>
      <x:c r="J33" s="2"/>
    </x:row>
    <x:row r="34" ht="22" customHeight="1">
      <x:c r="A34" s="48" t="str">
        <x:v>CFD</x:v>
      </x:c>
      <x:c r="B34" s="48" t="b">
        <x:f>IF(A34="","",COUNTIF($D$6:$D$435,A34)&gt;0)</x:f>
        <x:v>0</x:v>
      </x:c>
      <x:c r="C34" s="48" t="str">
        <x:f>IF(B34=TRUE,A34,"")</x:f>
      </x:c>
      <x:c r="D34" s="48" t="str">
        <x:v>ANO1</x:v>
      </x:c>
      <x:c r="E34" s="48" t="str"/>
      <x:c r="F34" s="48" t="str"/>
      <x:c r="G34" s="48" t="str"/>
      <x:c r="H34" s="2"/>
      <x:c r="I34" s="2"/>
      <x:c r="J34" s="2"/>
    </x:row>
    <x:row r="35" ht="22" customHeight="1">
      <x:c r="A35" s="48" t="str">
        <x:v>CGAS</x:v>
      </x:c>
      <x:c r="B35" s="48" t="b">
        <x:f>IF(A35="","",COUNTIF($D$6:$D$435,A35)&gt;0)</x:f>
        <x:v>0</x:v>
      </x:c>
      <x:c r="C35" s="48" t="str">
        <x:f>IF(B35=TRUE,A35,"")</x:f>
      </x:c>
      <x:c r="D35" s="48" t="str">
        <x:v>ANXA5</x:v>
      </x:c>
      <x:c r="E35" s="48" t="str"/>
      <x:c r="F35" s="48" t="str"/>
      <x:c r="G35" s="48" t="str"/>
      <x:c r="H35" s="2"/>
      <x:c r="I35" s="2"/>
      <x:c r="J35" s="2"/>
    </x:row>
    <x:row r="36" ht="22" customHeight="1">
      <x:c r="A36" s="48" t="str">
        <x:v>CHRM3</x:v>
      </x:c>
      <x:c r="B36" s="48" t="b">
        <x:f>IF(A36="","",COUNTIF($D$6:$D$435,A36)&gt;0)</x:f>
        <x:v>0</x:v>
      </x:c>
      <x:c r="C36" s="48" t="str">
        <x:f>IF(B36=TRUE,A36,"")</x:f>
      </x:c>
      <x:c r="D36" s="48" t="str">
        <x:v>AP3D1</x:v>
      </x:c>
      <x:c r="E36" s="48" t="str"/>
      <x:c r="F36" s="48" t="str"/>
      <x:c r="G36" s="48" t="str"/>
      <x:c r="H36" s="2"/>
      <x:c r="I36" s="2"/>
      <x:c r="J36" s="2"/>
    </x:row>
    <x:row r="37" ht="22" customHeight="1">
      <x:c r="A37" s="48" t="str">
        <x:v>CHRM5</x:v>
      </x:c>
      <x:c r="B37" s="48" t="b">
        <x:f>IF(A37="","",COUNTIF($D$6:$D$435,A37)&gt;0)</x:f>
        <x:v>0</x:v>
      </x:c>
      <x:c r="C37" s="48" t="str">
        <x:f>IF(B37=TRUE,A37,"")</x:f>
      </x:c>
      <x:c r="D37" s="48" t="str">
        <x:v>APAF1</x:v>
      </x:c>
      <x:c r="E37" s="48" t="str"/>
      <x:c r="F37" s="48" t="str"/>
      <x:c r="G37" s="48" t="str"/>
      <x:c r="H37" s="2"/>
      <x:c r="I37" s="2"/>
      <x:c r="J37" s="2"/>
    </x:row>
    <x:row r="38" ht="22" customHeight="1">
      <x:c r="A38" s="48" t="str">
        <x:v>CHRNA10</x:v>
      </x:c>
      <x:c r="B38" s="48" t="b">
        <x:f>IF(A38="","",COUNTIF($D$6:$D$435,A38)&gt;0)</x:f>
        <x:v>0</x:v>
      </x:c>
      <x:c r="C38" s="48" t="str">
        <x:f>IF(B38=TRUE,A38,"")</x:f>
      </x:c>
      <x:c r="D38" s="48" t="str">
        <x:v>APCS</x:v>
      </x:c>
      <x:c r="E38" s="48" t="str"/>
      <x:c r="F38" s="48" t="str"/>
      <x:c r="G38" s="48" t="str"/>
      <x:c r="H38" s="2"/>
      <x:c r="I38" s="2"/>
      <x:c r="J38" s="2"/>
    </x:row>
    <x:row r="39" ht="22" customHeight="1">
      <x:c r="A39" s="48" t="str">
        <x:v>CHRNA9</x:v>
      </x:c>
      <x:c r="B39" s="48" t="b">
        <x:f>IF(A39="","",COUNTIF($D$6:$D$435,A39)&gt;0)</x:f>
        <x:v>0</x:v>
      </x:c>
      <x:c r="C39" s="48" t="str">
        <x:f>IF(B39=TRUE,A39,"")</x:f>
      </x:c>
      <x:c r="D39" s="48" t="str">
        <x:v>APLN</x:v>
      </x:c>
      <x:c r="E39" s="48" t="str"/>
      <x:c r="F39" s="48" t="str"/>
      <x:c r="G39" s="48" t="str"/>
      <x:c r="H39" s="2"/>
      <x:c r="I39" s="2"/>
      <x:c r="J39" s="2"/>
    </x:row>
    <x:row r="40" ht="22" customHeight="1">
      <x:c r="A40" s="48" t="str">
        <x:v>CISD1</x:v>
      </x:c>
      <x:c r="B40" s="48" t="b">
        <x:f>IF(A40="","",COUNTIF($D$6:$D$435,A40)&gt;0)</x:f>
        <x:v>0</x:v>
      </x:c>
      <x:c r="C40" s="48" t="str">
        <x:f>IF(B40=TRUE,A40,"")</x:f>
      </x:c>
      <x:c r="D40" s="48" t="str">
        <x:v>APOA1</x:v>
      </x:c>
      <x:c r="E40" s="48" t="str"/>
      <x:c r="F40" s="48" t="str"/>
      <x:c r="G40" s="48" t="str"/>
      <x:c r="H40" s="2"/>
      <x:c r="I40" s="2"/>
      <x:c r="J40" s="2"/>
    </x:row>
    <x:row r="41" ht="22" customHeight="1">
      <x:c r="A41" s="48" t="str">
        <x:v>CNR1</x:v>
      </x:c>
      <x:c r="B41" s="48" t="b">
        <x:f>IF(A41="","",COUNTIF($D$6:$D$435,A41)&gt;0)</x:f>
        <x:v>0</x:v>
      </x:c>
      <x:c r="C41" s="48" t="str">
        <x:f>IF(B41=TRUE,A41,"")</x:f>
      </x:c>
      <x:c r="D41" s="48" t="str">
        <x:v>APOB</x:v>
      </x:c>
      <x:c r="E41" s="48" t="str"/>
      <x:c r="F41" s="48" t="str"/>
      <x:c r="G41" s="48" t="str"/>
      <x:c r="H41" s="2"/>
      <x:c r="I41" s="2"/>
      <x:c r="J41" s="2"/>
    </x:row>
    <x:row r="42" ht="22" customHeight="1">
      <x:c r="A42" s="48" t="str">
        <x:v>CNR2</x:v>
      </x:c>
      <x:c r="B42" s="48" t="b">
        <x:f>IF(A42="","",COUNTIF($D$6:$D$435,A42)&gt;0)</x:f>
        <x:v>0</x:v>
      </x:c>
      <x:c r="C42" s="48" t="str">
        <x:f>IF(B42=TRUE,A42,"")</x:f>
      </x:c>
      <x:c r="D42" s="48" t="str">
        <x:v>APOC3</x:v>
      </x:c>
      <x:c r="E42" s="48" t="str"/>
      <x:c r="F42" s="48" t="str"/>
      <x:c r="G42" s="48" t="str"/>
      <x:c r="H42" s="2"/>
      <x:c r="I42" s="2"/>
      <x:c r="J42" s="2"/>
    </x:row>
    <x:row r="43" ht="22" customHeight="1">
      <x:c r="A43" s="48" t="str">
        <x:v>COMT</x:v>
      </x:c>
      <x:c r="B43" s="48" t="b">
        <x:f>IF(A43="","",COUNTIF($D$6:$D$435,A43)&gt;0)</x:f>
        <x:v>0</x:v>
      </x:c>
      <x:c r="C43" s="48" t="str">
        <x:f>IF(B43=TRUE,A43,"")</x:f>
      </x:c>
      <x:c r="D43" s="48" t="str">
        <x:v>APOE</x:v>
      </x:c>
      <x:c r="E43" s="48" t="str"/>
      <x:c r="F43" s="48" t="str"/>
      <x:c r="G43" s="48" t="str"/>
      <x:c r="H43" s="2"/>
      <x:c r="I43" s="2"/>
      <x:c r="J43" s="2"/>
    </x:row>
    <x:row r="44" ht="22" customHeight="1">
      <x:c r="A44" s="48" t="str">
        <x:v>CSNK2B</x:v>
      </x:c>
      <x:c r="B44" s="48" t="b">
        <x:f>IF(A44="","",COUNTIF($D$6:$D$435,A44)&gt;0)</x:f>
        <x:v>0</x:v>
      </x:c>
      <x:c r="C44" s="48" t="str">
        <x:f>IF(B44=TRUE,A44,"")</x:f>
      </x:c>
      <x:c r="D44" s="48" t="str">
        <x:v>AQP4</x:v>
      </x:c>
      <x:c r="E44" s="48" t="str"/>
      <x:c r="F44" s="48" t="str"/>
      <x:c r="G44" s="48" t="str"/>
      <x:c r="H44" s="2"/>
      <x:c r="I44" s="2"/>
      <x:c r="J44" s="2"/>
    </x:row>
    <x:row r="45" ht="22" customHeight="1">
      <x:c r="A45" s="48" t="str">
        <x:v>CTNNB1</x:v>
      </x:c>
      <x:c r="B45" s="48" t="b">
        <x:f>IF(A45="","",COUNTIF($D$6:$D$435,A45)&gt;0)</x:f>
        <x:v>1</x:v>
      </x:c>
      <x:c r="C45" s="48" t="str">
        <x:f>IF(B45=TRUE,A45,"")</x:f>
        <x:v>CTNNB1</x:v>
      </x:c>
      <x:c r="D45" s="48" t="str">
        <x:v>ARG1</x:v>
      </x:c>
      <x:c r="E45" s="48" t="str"/>
      <x:c r="F45" s="48" t="str"/>
      <x:c r="G45" s="48" t="str"/>
      <x:c r="H45" s="2"/>
      <x:c r="I45" s="2"/>
      <x:c r="J45" s="2"/>
    </x:row>
    <x:row r="46" ht="22" customHeight="1">
      <x:c r="A46" s="48" t="str">
        <x:v>CTSB</x:v>
      </x:c>
      <x:c r="B46" s="48" t="b">
        <x:f>IF(A46="","",COUNTIF($D$6:$D$435,A46)&gt;0)</x:f>
        <x:v>0</x:v>
      </x:c>
      <x:c r="C46" s="48" t="str">
        <x:f>IF(B46=TRUE,A46,"")</x:f>
      </x:c>
      <x:c r="D46" s="48" t="str">
        <x:v>ARHGEF15</x:v>
      </x:c>
      <x:c r="E46" s="48" t="str"/>
      <x:c r="F46" s="48" t="str"/>
      <x:c r="G46" s="48" t="str"/>
      <x:c r="H46" s="2"/>
      <x:c r="I46" s="2"/>
      <x:c r="J46" s="2"/>
    </x:row>
    <x:row r="47" ht="22" customHeight="1">
      <x:c r="A47" s="48" t="str">
        <x:v>CTSD</x:v>
      </x:c>
      <x:c r="B47" s="48" t="b">
        <x:f>IF(A47="","",COUNTIF($D$6:$D$435,A47)&gt;0)</x:f>
        <x:v>0</x:v>
      </x:c>
      <x:c r="C47" s="48" t="str">
        <x:f>IF(B47=TRUE,A47,"")</x:f>
      </x:c>
      <x:c r="D47" s="48" t="str">
        <x:v>ASXL2</x:v>
      </x:c>
      <x:c r="E47" s="48" t="str"/>
      <x:c r="F47" s="48" t="str"/>
      <x:c r="G47" s="48" t="str"/>
      <x:c r="H47" s="2"/>
      <x:c r="I47" s="2"/>
      <x:c r="J47" s="2"/>
    </x:row>
    <x:row r="48" ht="22" customHeight="1">
      <x:c r="A48" s="48" t="str">
        <x:v>CTSV</x:v>
      </x:c>
      <x:c r="B48" s="48" t="b">
        <x:f>IF(A48="","",COUNTIF($D$6:$D$435,A48)&gt;0)</x:f>
        <x:v>0</x:v>
      </x:c>
      <x:c r="C48" s="48" t="str">
        <x:f>IF(B48=TRUE,A48,"")</x:f>
      </x:c>
      <x:c r="D48" s="48" t="str">
        <x:v>ATG5</x:v>
      </x:c>
      <x:c r="E48" s="48" t="str"/>
      <x:c r="F48" s="48" t="str"/>
      <x:c r="G48" s="48" t="str"/>
      <x:c r="H48" s="2"/>
      <x:c r="I48" s="2"/>
      <x:c r="J48" s="2"/>
    </x:row>
    <x:row r="49" ht="22" customHeight="1">
      <x:c r="A49" s="48" t="str">
        <x:v>CXCR1</x:v>
      </x:c>
      <x:c r="B49" s="48" t="b">
        <x:f>IF(A49="","",COUNTIF($D$6:$D$435,A49)&gt;0)</x:f>
        <x:v>0</x:v>
      </x:c>
      <x:c r="C49" s="48" t="str">
        <x:f>IF(B49=TRUE,A49,"")</x:f>
      </x:c>
      <x:c r="D49" s="48" t="str">
        <x:v>ATP10A</x:v>
      </x:c>
      <x:c r="E49" s="48" t="str"/>
      <x:c r="F49" s="48" t="str"/>
      <x:c r="G49" s="48" t="str"/>
      <x:c r="H49" s="2"/>
      <x:c r="I49" s="2"/>
      <x:c r="J49" s="2"/>
    </x:row>
    <x:row r="50" ht="22" customHeight="1">
      <x:c r="A50" s="48" t="str">
        <x:v>DDX6</x:v>
      </x:c>
      <x:c r="B50" s="48" t="b">
        <x:f>IF(A50="","",COUNTIF($D$6:$D$435,A50)&gt;0)</x:f>
        <x:v>0</x:v>
      </x:c>
      <x:c r="C50" s="48" t="str">
        <x:f>IF(B50=TRUE,A50,"")</x:f>
      </x:c>
      <x:c r="D50" s="48" t="str">
        <x:v>ATP13A2</x:v>
      </x:c>
      <x:c r="E50" s="48" t="str"/>
      <x:c r="F50" s="48" t="str"/>
      <x:c r="G50" s="48" t="str"/>
      <x:c r="H50" s="2"/>
      <x:c r="I50" s="2"/>
      <x:c r="J50" s="2"/>
    </x:row>
    <x:row r="51" ht="22" customHeight="1">
      <x:c r="A51" s="48" t="str">
        <x:v>DNMT1</x:v>
      </x:c>
      <x:c r="B51" s="48" t="b">
        <x:f>IF(A51="","",COUNTIF($D$6:$D$435,A51)&gt;0)</x:f>
        <x:v>0</x:v>
      </x:c>
      <x:c r="C51" s="48" t="str">
        <x:f>IF(B51=TRUE,A51,"")</x:f>
      </x:c>
      <x:c r="D51" s="48" t="str">
        <x:v>AVP</x:v>
      </x:c>
      <x:c r="E51" s="48" t="str"/>
      <x:c r="F51" s="48" t="str"/>
      <x:c r="G51" s="48" t="str"/>
      <x:c r="H51" s="2"/>
      <x:c r="I51" s="2"/>
      <x:c r="J51" s="2"/>
    </x:row>
    <x:row r="52" ht="22" customHeight="1">
      <x:c r="A52" s="48" t="str">
        <x:v>DNMT3B</x:v>
      </x:c>
      <x:c r="B52" s="48" t="b">
        <x:f>IF(A52="","",COUNTIF($D$6:$D$435,A52)&gt;0)</x:f>
        <x:v>0</x:v>
      </x:c>
      <x:c r="C52" s="48" t="str">
        <x:f>IF(B52=TRUE,A52,"")</x:f>
      </x:c>
      <x:c r="D52" s="48" t="str">
        <x:v>B2M</x:v>
      </x:c>
      <x:c r="E52" s="48" t="str"/>
      <x:c r="F52" s="48" t="str"/>
      <x:c r="G52" s="48" t="str"/>
      <x:c r="H52" s="2"/>
      <x:c r="I52" s="2"/>
      <x:c r="J52" s="2"/>
    </x:row>
    <x:row r="53" ht="22" customHeight="1">
      <x:c r="A53" s="48" t="str">
        <x:v>DPYD</x:v>
      </x:c>
      <x:c r="B53" s="48" t="b">
        <x:f>IF(A53="","",COUNTIF($D$6:$D$435,A53)&gt;0)</x:f>
        <x:v>0</x:v>
      </x:c>
      <x:c r="C53" s="48" t="str">
        <x:f>IF(B53=TRUE,A53,"")</x:f>
      </x:c>
      <x:c r="D53" s="48" t="str">
        <x:v>BAX</x:v>
      </x:c>
      <x:c r="E53" s="48" t="str"/>
      <x:c r="F53" s="48" t="str"/>
      <x:c r="G53" s="48" t="str"/>
      <x:c r="H53" s="2"/>
      <x:c r="I53" s="2"/>
      <x:c r="J53" s="2"/>
    </x:row>
    <x:row r="54" ht="22" customHeight="1">
      <x:c r="A54" s="48" t="str">
        <x:v>DRD1</x:v>
      </x:c>
      <x:c r="B54" s="48" t="b">
        <x:f>IF(A54="","",COUNTIF($D$6:$D$435,A54)&gt;0)</x:f>
        <x:v>0</x:v>
      </x:c>
      <x:c r="C54" s="48" t="str">
        <x:f>IF(B54=TRUE,A54,"")</x:f>
      </x:c>
      <x:c r="D54" s="48" t="str">
        <x:v>BCL2</x:v>
      </x:c>
      <x:c r="E54" s="48" t="str"/>
      <x:c r="F54" s="48" t="str"/>
      <x:c r="G54" s="48" t="str"/>
      <x:c r="H54" s="2"/>
      <x:c r="I54" s="2"/>
      <x:c r="J54" s="2"/>
    </x:row>
    <x:row r="55" ht="22" customHeight="1">
      <x:c r="A55" s="48" t="str">
        <x:v>DRD2</x:v>
      </x:c>
      <x:c r="B55" s="48" t="b">
        <x:f>IF(A55="","",COUNTIF($D$6:$D$435,A55)&gt;0)</x:f>
        <x:v>0</x:v>
      </x:c>
      <x:c r="C55" s="48" t="str">
        <x:f>IF(B55=TRUE,A55,"")</x:f>
      </x:c>
      <x:c r="D55" s="48" t="str">
        <x:v>BDNF</x:v>
      </x:c>
      <x:c r="E55" s="48" t="str"/>
      <x:c r="F55" s="48" t="str"/>
      <x:c r="G55" s="48" t="str"/>
      <x:c r="H55" s="2"/>
      <x:c r="I55" s="2"/>
      <x:c r="J55" s="2"/>
    </x:row>
    <x:row r="56" ht="22" customHeight="1">
      <x:c r="A56" s="48" t="str">
        <x:v>DRD3</x:v>
      </x:c>
      <x:c r="B56" s="48" t="b">
        <x:f>IF(A56="","",COUNTIF($D$6:$D$435,A56)&gt;0)</x:f>
        <x:v>0</x:v>
      </x:c>
      <x:c r="C56" s="48" t="str">
        <x:f>IF(B56=TRUE,A56,"")</x:f>
      </x:c>
      <x:c r="D56" s="48" t="str">
        <x:v>BECN1</x:v>
      </x:c>
      <x:c r="E56" s="48" t="str"/>
      <x:c r="F56" s="48" t="str"/>
      <x:c r="G56" s="48" t="str"/>
      <x:c r="H56" s="2"/>
      <x:c r="I56" s="2"/>
      <x:c r="J56" s="2"/>
    </x:row>
    <x:row r="57" ht="22" customHeight="1">
      <x:c r="A57" s="48" t="str">
        <x:v>DRD4</x:v>
      </x:c>
      <x:c r="B57" s="48" t="b">
        <x:f>IF(A57="","",COUNTIF($D$6:$D$435,A57)&gt;0)</x:f>
        <x:v>0</x:v>
      </x:c>
      <x:c r="C57" s="48" t="str">
        <x:f>IF(B57=TRUE,A57,"")</x:f>
      </x:c>
      <x:c r="D57" s="48" t="str">
        <x:v>BIRC5</x:v>
      </x:c>
      <x:c r="E57" s="48" t="str"/>
      <x:c r="F57" s="48" t="str"/>
      <x:c r="G57" s="48" t="str"/>
      <x:c r="H57" s="2"/>
      <x:c r="I57" s="2"/>
      <x:c r="J57" s="2"/>
    </x:row>
    <x:row r="58" ht="22" customHeight="1">
      <x:c r="A58" s="48" t="str">
        <x:v>DRD5</x:v>
      </x:c>
      <x:c r="B58" s="48" t="b">
        <x:f>IF(A58="","",COUNTIF($D$6:$D$435,A58)&gt;0)</x:f>
        <x:v>0</x:v>
      </x:c>
      <x:c r="C58" s="48" t="str">
        <x:f>IF(B58=TRUE,A58,"")</x:f>
      </x:c>
      <x:c r="D58" s="48" t="str">
        <x:v>BRAF</x:v>
      </x:c>
      <x:c r="E58" s="48" t="str"/>
      <x:c r="F58" s="48" t="str"/>
      <x:c r="G58" s="48" t="str"/>
      <x:c r="H58" s="2"/>
      <x:c r="I58" s="2"/>
      <x:c r="J58" s="2"/>
    </x:row>
    <x:row r="59" ht="22" customHeight="1">
      <x:c r="A59" s="48" t="str">
        <x:v>EDNRB</x:v>
      </x:c>
      <x:c r="B59" s="48" t="b">
        <x:f>IF(A59="","",COUNTIF($D$6:$D$435,A59)&gt;0)</x:f>
        <x:v>0</x:v>
      </x:c>
      <x:c r="C59" s="48" t="str">
        <x:f>IF(B59=TRUE,A59,"")</x:f>
      </x:c>
      <x:c r="D59" s="48" t="str">
        <x:v>BRCA1</x:v>
      </x:c>
      <x:c r="E59" s="48" t="str"/>
      <x:c r="F59" s="48" t="str"/>
      <x:c r="G59" s="48" t="str"/>
      <x:c r="H59" s="2"/>
      <x:c r="I59" s="2"/>
      <x:c r="J59" s="2"/>
    </x:row>
    <x:row r="60" ht="22" customHeight="1">
      <x:c r="A60" s="48" t="str">
        <x:v>EIF4A1</x:v>
      </x:c>
      <x:c r="B60" s="48" t="b">
        <x:f>IF(A60="","",COUNTIF($D$6:$D$435,A60)&gt;0)</x:f>
        <x:v>0</x:v>
      </x:c>
      <x:c r="C60" s="48" t="str">
        <x:f>IF(B60=TRUE,A60,"")</x:f>
      </x:c>
      <x:c r="D60" s="48" t="str">
        <x:v>BRCC3</x:v>
      </x:c>
      <x:c r="E60" s="48" t="str"/>
      <x:c r="F60" s="48" t="str"/>
      <x:c r="G60" s="48" t="str"/>
      <x:c r="H60" s="2"/>
      <x:c r="I60" s="2"/>
      <x:c r="J60" s="2"/>
    </x:row>
    <x:row r="61" ht="22" customHeight="1">
      <x:c r="A61" s="48" t="str">
        <x:v>F2</x:v>
      </x:c>
      <x:c r="B61" s="48" t="b">
        <x:f>IF(A61="","",COUNTIF($D$6:$D$435,A61)&gt;0)</x:f>
        <x:v>1</x:v>
      </x:c>
      <x:c r="C61" s="48" t="str">
        <x:f>IF(B61=TRUE,A61,"")</x:f>
        <x:v>F2</x:v>
      </x:c>
      <x:c r="D61" s="48" t="str">
        <x:v>C1QA</x:v>
      </x:c>
      <x:c r="E61" s="48" t="str"/>
      <x:c r="F61" s="48" t="str"/>
      <x:c r="G61" s="48" t="str"/>
      <x:c r="H61" s="2"/>
      <x:c r="I61" s="2"/>
      <x:c r="J61" s="2"/>
    </x:row>
    <x:row r="62" ht="22" customHeight="1">
      <x:c r="A62" s="48" t="str">
        <x:v>F2R</x:v>
      </x:c>
      <x:c r="B62" s="48" t="b">
        <x:f>IF(A62="","",COUNTIF($D$6:$D$435,A62)&gt;0)</x:f>
        <x:v>1</x:v>
      </x:c>
      <x:c r="C62" s="48" t="str">
        <x:f>IF(B62=TRUE,A62,"")</x:f>
        <x:v>F2R</x:v>
      </x:c>
      <x:c r="D62" s="48" t="str">
        <x:v>C1R</x:v>
      </x:c>
      <x:c r="E62" s="48" t="str"/>
      <x:c r="F62" s="48" t="str"/>
      <x:c r="G62" s="48" t="str"/>
      <x:c r="H62" s="2"/>
      <x:c r="I62" s="2"/>
      <x:c r="J62" s="2"/>
    </x:row>
    <x:row r="63" ht="22" customHeight="1">
      <x:c r="A63" s="48" t="str">
        <x:v>FDPS</x:v>
      </x:c>
      <x:c r="B63" s="48" t="b">
        <x:f>IF(A63="","",COUNTIF($D$6:$D$435,A63)&gt;0)</x:f>
        <x:v>0</x:v>
      </x:c>
      <x:c r="C63" s="48" t="str">
        <x:f>IF(B63=TRUE,A63,"")</x:f>
      </x:c>
      <x:c r="D63" s="48" t="str">
        <x:v>C3</x:v>
      </x:c>
      <x:c r="E63" s="48" t="str"/>
      <x:c r="F63" s="48" t="str"/>
      <x:c r="G63" s="48" t="str"/>
      <x:c r="H63" s="2"/>
      <x:c r="I63" s="2"/>
      <x:c r="J63" s="2"/>
    </x:row>
    <x:row r="64" ht="22" customHeight="1">
      <x:c r="A64" s="48" t="str">
        <x:v>FHIT</x:v>
      </x:c>
      <x:c r="B64" s="48" t="b">
        <x:f>IF(A64="","",COUNTIF($D$6:$D$435,A64)&gt;0)</x:f>
        <x:v>0</x:v>
      </x:c>
      <x:c r="C64" s="48" t="str">
        <x:f>IF(B64=TRUE,A64,"")</x:f>
      </x:c>
      <x:c r="D64" s="48" t="str">
        <x:v>C4B</x:v>
      </x:c>
      <x:c r="E64" s="48" t="str"/>
      <x:c r="F64" s="48" t="str"/>
      <x:c r="G64" s="48" t="str"/>
      <x:c r="H64" s="2"/>
      <x:c r="I64" s="2"/>
      <x:c r="J64" s="2"/>
    </x:row>
    <x:row r="65" ht="22" customHeight="1">
      <x:c r="A65" s="48" t="str">
        <x:v>GAA</x:v>
      </x:c>
      <x:c r="B65" s="48" t="b">
        <x:f>IF(A65="","",COUNTIF($D$6:$D$435,A65)&gt;0)</x:f>
        <x:v>0</x:v>
      </x:c>
      <x:c r="C65" s="48" t="str">
        <x:f>IF(B65=TRUE,A65,"")</x:f>
      </x:c>
      <x:c r="D65" s="48" t="str">
        <x:v>CACNA2D1</x:v>
      </x:c>
      <x:c r="E65" s="48" t="str"/>
      <x:c r="F65" s="48" t="str"/>
      <x:c r="G65" s="48" t="str"/>
      <x:c r="H65" s="2"/>
      <x:c r="I65" s="2"/>
      <x:c r="J65" s="2"/>
    </x:row>
    <x:row r="66" ht="22" customHeight="1">
      <x:c r="A66" s="48" t="str">
        <x:v>GLO1</x:v>
      </x:c>
      <x:c r="B66" s="48" t="b">
        <x:f>IF(A66="","",COUNTIF($D$6:$D$435,A66)&gt;0)</x:f>
        <x:v>0</x:v>
      </x:c>
      <x:c r="C66" s="48" t="str">
        <x:f>IF(B66=TRUE,A66,"")</x:f>
      </x:c>
      <x:c r="D66" s="48" t="str">
        <x:v>CALCA</x:v>
      </x:c>
      <x:c r="E66" s="48" t="str"/>
      <x:c r="F66" s="48" t="str"/>
      <x:c r="G66" s="48" t="str"/>
      <x:c r="H66" s="2"/>
      <x:c r="I66" s="2"/>
      <x:c r="J66" s="2"/>
    </x:row>
    <x:row r="67" ht="22" customHeight="1">
      <x:c r="A67" s="48" t="str">
        <x:v>GLRA1</x:v>
      </x:c>
      <x:c r="B67" s="48" t="b">
        <x:f>IF(A67="","",COUNTIF($D$6:$D$435,A67)&gt;0)</x:f>
        <x:v>0</x:v>
      </x:c>
      <x:c r="C67" s="48" t="str">
        <x:f>IF(B67=TRUE,A67,"")</x:f>
      </x:c>
      <x:c r="D67" s="48" t="str">
        <x:v>CALM1</x:v>
      </x:c>
      <x:c r="E67" s="48" t="str"/>
      <x:c r="F67" s="48" t="str"/>
      <x:c r="G67" s="48" t="str"/>
      <x:c r="H67" s="2"/>
      <x:c r="I67" s="2"/>
      <x:c r="J67" s="2"/>
    </x:row>
    <x:row r="68" ht="22" customHeight="1">
      <x:c r="A68" s="48" t="str">
        <x:v>GLRA2</x:v>
      </x:c>
      <x:c r="B68" s="48" t="b">
        <x:f>IF(A68="","",COUNTIF($D$6:$D$435,A68)&gt;0)</x:f>
        <x:v>0</x:v>
      </x:c>
      <x:c r="C68" s="48" t="str">
        <x:f>IF(B68=TRUE,A68,"")</x:f>
      </x:c>
      <x:c r="D68" s="48" t="str">
        <x:v>CASP3</x:v>
      </x:c>
      <x:c r="E68" s="48" t="str"/>
      <x:c r="F68" s="48" t="str"/>
      <x:c r="G68" s="48" t="str"/>
      <x:c r="H68" s="2"/>
      <x:c r="I68" s="2"/>
      <x:c r="J68" s="2"/>
    </x:row>
    <x:row r="69" ht="22" customHeight="1">
      <x:c r="A69" s="48" t="str">
        <x:v>GPBAR1</x:v>
      </x:c>
      <x:c r="B69" s="48" t="b">
        <x:f>IF(A69="","",COUNTIF($D$6:$D$435,A69)&gt;0)</x:f>
        <x:v>0</x:v>
      </x:c>
      <x:c r="C69" s="48" t="str">
        <x:f>IF(B69=TRUE,A69,"")</x:f>
      </x:c>
      <x:c r="D69" s="48" t="str">
        <x:v>CAV1</x:v>
      </x:c>
      <x:c r="E69" s="48" t="str"/>
      <x:c r="F69" s="48" t="str"/>
      <x:c r="G69" s="48" t="str"/>
      <x:c r="H69" s="2"/>
      <x:c r="I69" s="2"/>
      <x:c r="J69" s="2"/>
    </x:row>
    <x:row r="70" ht="22" customHeight="1">
      <x:c r="A70" s="48" t="str">
        <x:v>GPR18</x:v>
      </x:c>
      <x:c r="B70" s="48" t="b">
        <x:f>IF(A70="","",COUNTIF($D$6:$D$435,A70)&gt;0)</x:f>
        <x:v>0</x:v>
      </x:c>
      <x:c r="C70" s="48" t="str">
        <x:f>IF(B70=TRUE,A70,"")</x:f>
      </x:c>
      <x:c r="D70" s="48" t="str">
        <x:v>CBS</x:v>
      </x:c>
      <x:c r="E70" s="48" t="str"/>
      <x:c r="F70" s="48" t="str"/>
      <x:c r="G70" s="48" t="str"/>
      <x:c r="H70" s="2"/>
      <x:c r="I70" s="2"/>
      <x:c r="J70" s="2"/>
    </x:row>
    <x:row r="71" ht="22" customHeight="1">
      <x:c r="A71" s="48" t="str">
        <x:v>GPR32</x:v>
      </x:c>
      <x:c r="B71" s="48" t="b">
        <x:f>IF(A71="","",COUNTIF($D$6:$D$435,A71)&gt;0)</x:f>
        <x:v>0</x:v>
      </x:c>
      <x:c r="C71" s="48" t="str">
        <x:f>IF(B71=TRUE,A71,"")</x:f>
      </x:c>
      <x:c r="D71" s="48" t="str">
        <x:v>CCL2</x:v>
      </x:c>
      <x:c r="E71" s="48" t="str"/>
      <x:c r="F71" s="48" t="str"/>
      <x:c r="G71" s="48" t="str"/>
      <x:c r="H71" s="2"/>
      <x:c r="I71" s="2"/>
      <x:c r="J71" s="2"/>
    </x:row>
    <x:row r="72" ht="22" customHeight="1">
      <x:c r="A72" s="48" t="str">
        <x:v>GPR55</x:v>
      </x:c>
      <x:c r="B72" s="48" t="b">
        <x:f>IF(A72="","",COUNTIF($D$6:$D$435,A72)&gt;0)</x:f>
        <x:v>0</x:v>
      </x:c>
      <x:c r="C72" s="48" t="str">
        <x:f>IF(B72=TRUE,A72,"")</x:f>
      </x:c>
      <x:c r="D72" s="48" t="str">
        <x:v>CCL5</x:v>
      </x:c>
      <x:c r="E72" s="48" t="str"/>
      <x:c r="F72" s="48" t="str"/>
      <x:c r="G72" s="48" t="str"/>
      <x:c r="H72" s="2"/>
      <x:c r="I72" s="2"/>
      <x:c r="J72" s="2"/>
    </x:row>
    <x:row r="73" ht="22" customHeight="1">
      <x:c r="A73" s="48" t="str">
        <x:v>GSR</x:v>
      </x:c>
      <x:c r="B73" s="48" t="b">
        <x:f>IF(A73="","",COUNTIF($D$6:$D$435,A73)&gt;0)</x:f>
        <x:v>0</x:v>
      </x:c>
      <x:c r="C73" s="48" t="str">
        <x:f>IF(B73=TRUE,A73,"")</x:f>
      </x:c>
      <x:c r="D73" s="48" t="str">
        <x:v>CCND1</x:v>
      </x:c>
      <x:c r="E73" s="48" t="str"/>
      <x:c r="F73" s="48" t="str"/>
      <x:c r="G73" s="48" t="str"/>
      <x:c r="H73" s="2"/>
      <x:c r="I73" s="2"/>
      <x:c r="J73" s="2"/>
    </x:row>
    <x:row r="74" ht="22" customHeight="1">
      <x:c r="A74" s="48" t="str">
        <x:v>GSTP1</x:v>
      </x:c>
      <x:c r="B74" s="48" t="b">
        <x:f>IF(A74="","",COUNTIF($D$6:$D$435,A74)&gt;0)</x:f>
        <x:v>0</x:v>
      </x:c>
      <x:c r="C74" s="48" t="str">
        <x:f>IF(B74=TRUE,A74,"")</x:f>
      </x:c>
      <x:c r="D74" s="48" t="str">
        <x:v>CD163</x:v>
      </x:c>
      <x:c r="E74" s="48" t="str"/>
      <x:c r="F74" s="48" t="str"/>
      <x:c r="G74" s="48" t="str"/>
      <x:c r="H74" s="2"/>
      <x:c r="I74" s="2"/>
      <x:c r="J74" s="2"/>
    </x:row>
    <x:row r="75" ht="22" customHeight="1">
      <x:c r="A75" s="48" t="str">
        <x:v>GUSB</x:v>
      </x:c>
      <x:c r="B75" s="48" t="b">
        <x:f>IF(A75="","",COUNTIF($D$6:$D$435,A75)&gt;0)</x:f>
        <x:v>0</x:v>
      </x:c>
      <x:c r="C75" s="48" t="str">
        <x:f>IF(B75=TRUE,A75,"")</x:f>
      </x:c>
      <x:c r="D75" s="48" t="str">
        <x:v>CD34</x:v>
      </x:c>
      <x:c r="E75" s="48" t="str"/>
      <x:c r="F75" s="48" t="str"/>
      <x:c r="G75" s="48" t="str"/>
      <x:c r="H75" s="2"/>
      <x:c r="I75" s="2"/>
      <x:c r="J75" s="2"/>
    </x:row>
    <x:row r="76" ht="22" customHeight="1">
      <x:c r="A76" s="48" t="str">
        <x:v>HIF1A</x:v>
      </x:c>
      <x:c r="B76" s="48" t="b">
        <x:f>IF(A76="","",COUNTIF($D$6:$D$435,A76)&gt;0)</x:f>
        <x:v>1</x:v>
      </x:c>
      <x:c r="C76" s="48" t="str">
        <x:f>IF(B76=TRUE,A76,"")</x:f>
        <x:v>HIF1A</x:v>
      </x:c>
      <x:c r="D76" s="48" t="str">
        <x:v>CD86</x:v>
      </x:c>
      <x:c r="E76" s="48" t="str"/>
      <x:c r="F76" s="48" t="str"/>
      <x:c r="G76" s="48" t="str"/>
      <x:c r="H76" s="2"/>
      <x:c r="I76" s="2"/>
      <x:c r="J76" s="2"/>
    </x:row>
    <x:row r="77" ht="22" customHeight="1">
      <x:c r="A77" s="48" t="str">
        <x:v>HMGCR</x:v>
      </x:c>
      <x:c r="B77" s="48" t="b">
        <x:f>IF(A77="","",COUNTIF($D$6:$D$435,A77)&gt;0)</x:f>
        <x:v>0</x:v>
      </x:c>
      <x:c r="C77" s="48" t="str">
        <x:f>IF(B77=TRUE,A77,"")</x:f>
      </x:c>
      <x:c r="D77" s="48" t="str">
        <x:v>CDK5</x:v>
      </x:c>
      <x:c r="E77" s="48" t="str"/>
      <x:c r="F77" s="48" t="str"/>
      <x:c r="G77" s="48" t="str"/>
      <x:c r="H77" s="2"/>
      <x:c r="I77" s="2"/>
      <x:c r="J77" s="2"/>
    </x:row>
    <x:row r="78" ht="22" customHeight="1">
      <x:c r="A78" s="48" t="str">
        <x:v>HSD17B10</x:v>
      </x:c>
      <x:c r="B78" s="48" t="b">
        <x:f>IF(A78="","",COUNTIF($D$6:$D$435,A78)&gt;0)</x:f>
        <x:v>0</x:v>
      </x:c>
      <x:c r="C78" s="48" t="str">
        <x:f>IF(B78=TRUE,A78,"")</x:f>
      </x:c>
      <x:c r="D78" s="48" t="str">
        <x:v>CDK5R1</x:v>
      </x:c>
      <x:c r="E78" s="48" t="str"/>
      <x:c r="F78" s="48" t="str"/>
      <x:c r="G78" s="48" t="str"/>
      <x:c r="H78" s="2"/>
      <x:c r="I78" s="2"/>
      <x:c r="J78" s="2"/>
    </x:row>
    <x:row r="79" ht="22" customHeight="1">
      <x:c r="A79" s="48" t="str">
        <x:v>HSP90AA1</x:v>
      </x:c>
      <x:c r="B79" s="48" t="b">
        <x:f>IF(A79="","",COUNTIF($D$6:$D$435,A79)&gt;0)</x:f>
        <x:v>0</x:v>
      </x:c>
      <x:c r="C79" s="48" t="str">
        <x:f>IF(B79=TRUE,A79,"")</x:f>
      </x:c>
      <x:c r="D79" s="48" t="str">
        <x:v>CFB</x:v>
      </x:c>
      <x:c r="E79" s="48" t="str"/>
      <x:c r="F79" s="48" t="str"/>
      <x:c r="G79" s="48" t="str"/>
      <x:c r="H79" s="2"/>
      <x:c r="I79" s="2"/>
      <x:c r="J79" s="2"/>
    </x:row>
    <x:row r="80" ht="22" customHeight="1">
      <x:c r="A80" s="48" t="str">
        <x:v>IL2</x:v>
      </x:c>
      <x:c r="B80" s="48" t="b">
        <x:f>IF(A80="","",COUNTIF($D$6:$D$435,A80)&gt;0)</x:f>
        <x:v>1</x:v>
      </x:c>
      <x:c r="C80" s="48" t="str">
        <x:f>IF(B80=TRUE,A80,"")</x:f>
        <x:v>IL2</x:v>
      </x:c>
      <x:c r="D80" s="48" t="str">
        <x:v>CHGA</x:v>
      </x:c>
      <x:c r="E80" s="48" t="str"/>
      <x:c r="F80" s="48" t="str"/>
      <x:c r="G80" s="48" t="str"/>
      <x:c r="H80" s="2"/>
      <x:c r="I80" s="2"/>
      <x:c r="J80" s="2"/>
    </x:row>
    <x:row r="81" ht="22" customHeight="1">
      <x:c r="A81" s="48" t="str">
        <x:v>INPPL1</x:v>
      </x:c>
      <x:c r="B81" s="48" t="b">
        <x:f>IF(A81="","",COUNTIF($D$6:$D$435,A81)&gt;0)</x:f>
        <x:v>0</x:v>
      </x:c>
      <x:c r="C81" s="48" t="str">
        <x:f>IF(B81=TRUE,A81,"")</x:f>
      </x:c>
      <x:c r="D81" s="48" t="str">
        <x:v>CHI3L1</x:v>
      </x:c>
      <x:c r="E81" s="48" t="str"/>
      <x:c r="F81" s="48" t="str"/>
      <x:c r="G81" s="48" t="str"/>
      <x:c r="H81" s="2"/>
      <x:c r="I81" s="2"/>
      <x:c r="J81" s="2"/>
    </x:row>
    <x:row r="82" ht="22" customHeight="1">
      <x:c r="A82" s="48" t="str">
        <x:v>KCNA3</x:v>
      </x:c>
      <x:c r="B82" s="48" t="b">
        <x:f>IF(A82="","",COUNTIF($D$6:$D$435,A82)&gt;0)</x:f>
        <x:v>0</x:v>
      </x:c>
      <x:c r="C82" s="48" t="str">
        <x:f>IF(B82=TRUE,A82,"")</x:f>
      </x:c>
      <x:c r="D82" s="48" t="str">
        <x:v>CLDN3</x:v>
      </x:c>
      <x:c r="E82" s="48" t="str"/>
      <x:c r="F82" s="48" t="str"/>
      <x:c r="G82" s="48" t="str"/>
      <x:c r="H82" s="2"/>
      <x:c r="I82" s="2"/>
      <x:c r="J82" s="2"/>
    </x:row>
    <x:row r="83" ht="22" customHeight="1">
      <x:c r="A83" s="48" t="str">
        <x:v>KCNH2</x:v>
      </x:c>
      <x:c r="B83" s="48" t="b">
        <x:f>IF(A83="","",COUNTIF($D$6:$D$435,A83)&gt;0)</x:f>
        <x:v>0</x:v>
      </x:c>
      <x:c r="C83" s="48" t="str">
        <x:f>IF(B83=TRUE,A83,"")</x:f>
      </x:c>
      <x:c r="D83" s="48" t="str">
        <x:v>CLDN5</x:v>
      </x:c>
      <x:c r="E83" s="48" t="str"/>
      <x:c r="F83" s="48" t="str"/>
      <x:c r="G83" s="48" t="str"/>
      <x:c r="H83" s="2"/>
      <x:c r="I83" s="2"/>
      <x:c r="J83" s="2"/>
    </x:row>
    <x:row r="84" ht="22" customHeight="1">
      <x:c r="A84" s="48" t="str">
        <x:v>KCNJ11</x:v>
      </x:c>
      <x:c r="B84" s="48" t="b">
        <x:f>IF(A84="","",COUNTIF($D$6:$D$435,A84)&gt;0)</x:f>
        <x:v>0</x:v>
      </x:c>
      <x:c r="C84" s="48" t="str">
        <x:f>IF(B84=TRUE,A84,"")</x:f>
      </x:c>
      <x:c r="D84" s="48" t="str">
        <x:v>CLEC2B</x:v>
      </x:c>
      <x:c r="E84" s="48" t="str"/>
      <x:c r="F84" s="48" t="str"/>
      <x:c r="G84" s="48" t="str"/>
      <x:c r="H84" s="2"/>
      <x:c r="I84" s="2"/>
      <x:c r="J84" s="2"/>
    </x:row>
    <x:row r="85" ht="22" customHeight="1">
      <x:c r="A85" s="48" t="str">
        <x:v>KLF5</x:v>
      </x:c>
      <x:c r="B85" s="48" t="b">
        <x:f>IF(A85="","",COUNTIF($D$6:$D$435,A85)&gt;0)</x:f>
        <x:v>0</x:v>
      </x:c>
      <x:c r="C85" s="48" t="str">
        <x:f>IF(B85=TRUE,A85,"")</x:f>
      </x:c>
      <x:c r="D85" s="48" t="str">
        <x:v>CLU</x:v>
      </x:c>
      <x:c r="E85" s="48" t="str"/>
      <x:c r="F85" s="48" t="str"/>
      <x:c r="G85" s="48" t="str"/>
      <x:c r="H85" s="2"/>
      <x:c r="I85" s="2"/>
      <x:c r="J85" s="2"/>
    </x:row>
    <x:row r="86" ht="22" customHeight="1">
      <x:c r="A86" s="48" t="str">
        <x:v>LGALS7</x:v>
      </x:c>
      <x:c r="B86" s="48" t="b">
        <x:f>IF(A86="","",COUNTIF($D$6:$D$435,A86)&gt;0)</x:f>
        <x:v>0</x:v>
      </x:c>
      <x:c r="C86" s="48" t="str">
        <x:f>IF(B86=TRUE,A86,"")</x:f>
      </x:c>
      <x:c r="D86" s="48" t="str">
        <x:v>COL4A1</x:v>
      </x:c>
      <x:c r="E86" s="48" t="str"/>
      <x:c r="F86" s="48" t="str"/>
      <x:c r="G86" s="48" t="str"/>
      <x:c r="H86" s="2"/>
      <x:c r="I86" s="2"/>
      <x:c r="J86" s="2"/>
    </x:row>
    <x:row r="87" ht="22" customHeight="1">
      <x:c r="A87" s="48" t="str">
        <x:v>LGALS7B</x:v>
      </x:c>
      <x:c r="B87" s="48" t="b">
        <x:f>IF(A87="","",COUNTIF($D$6:$D$435,A87)&gt;0)</x:f>
        <x:v>0</x:v>
      </x:c>
      <x:c r="C87" s="48" t="str">
        <x:f>IF(B87=TRUE,A87,"")</x:f>
      </x:c>
      <x:c r="D87" s="48" t="str">
        <x:v>COL4A4</x:v>
      </x:c>
      <x:c r="E87" s="48" t="str"/>
      <x:c r="F87" s="48" t="str"/>
      <x:c r="G87" s="48" t="str"/>
      <x:c r="H87" s="2"/>
      <x:c r="I87" s="2"/>
      <x:c r="J87" s="2"/>
    </x:row>
    <x:row r="88" ht="22" customHeight="1">
      <x:c r="A88" s="48" t="str">
        <x:v>LGALS8</x:v>
      </x:c>
      <x:c r="B88" s="48" t="b">
        <x:f>IF(A88="","",COUNTIF($D$6:$D$435,A88)&gt;0)</x:f>
        <x:v>0</x:v>
      </x:c>
      <x:c r="C88" s="48" t="str">
        <x:f>IF(B88=TRUE,A88,"")</x:f>
      </x:c>
      <x:c r="D88" s="48" t="str">
        <x:v>CORIN</x:v>
      </x:c>
      <x:c r="E88" s="48" t="str"/>
      <x:c r="F88" s="48" t="str"/>
      <x:c r="G88" s="48" t="str"/>
      <x:c r="H88" s="2"/>
      <x:c r="I88" s="2"/>
      <x:c r="J88" s="2"/>
    </x:row>
    <x:row r="89" ht="22" customHeight="1">
      <x:c r="A89" s="48" t="str">
        <x:v>LMNA</x:v>
      </x:c>
      <x:c r="B89" s="48" t="b">
        <x:f>IF(A89="","",COUNTIF($D$6:$D$435,A89)&gt;0)</x:f>
        <x:v>0</x:v>
      </x:c>
      <x:c r="C89" s="48" t="str">
        <x:f>IF(B89=TRUE,A89,"")</x:f>
      </x:c>
      <x:c r="D89" s="48" t="str">
        <x:v>CORT</x:v>
      </x:c>
      <x:c r="E89" s="48" t="str"/>
      <x:c r="F89" s="48" t="str"/>
      <x:c r="G89" s="48" t="str"/>
      <x:c r="H89" s="2"/>
      <x:c r="I89" s="2"/>
      <x:c r="J89" s="2"/>
    </x:row>
    <x:row r="90" ht="22" customHeight="1">
      <x:c r="A90" s="48" t="str">
        <x:v>LPAR3</x:v>
      </x:c>
      <x:c r="B90" s="48" t="b">
        <x:f>IF(A90="","",COUNTIF($D$6:$D$435,A90)&gt;0)</x:f>
        <x:v>0</x:v>
      </x:c>
      <x:c r="C90" s="48" t="str">
        <x:f>IF(B90=TRUE,A90,"")</x:f>
      </x:c>
      <x:c r="D90" s="48" t="str">
        <x:v>CPB2</x:v>
      </x:c>
      <x:c r="E90" s="48" t="str"/>
      <x:c r="F90" s="48" t="str"/>
      <x:c r="G90" s="48" t="str"/>
      <x:c r="H90" s="2"/>
      <x:c r="I90" s="2"/>
      <x:c r="J90" s="2"/>
    </x:row>
    <x:row r="91" ht="22" customHeight="1">
      <x:c r="A91" s="48" t="str">
        <x:v>LYPLA1</x:v>
      </x:c>
      <x:c r="B91" s="48" t="b">
        <x:f>IF(A91="","",COUNTIF($D$6:$D$435,A91)&gt;0)</x:f>
        <x:v>0</x:v>
      </x:c>
      <x:c r="C91" s="48" t="str">
        <x:f>IF(B91=TRUE,A91,"")</x:f>
      </x:c>
      <x:c r="D91" s="48" t="str">
        <x:v>CPSF2</x:v>
      </x:c>
      <x:c r="E91" s="48" t="str"/>
      <x:c r="F91" s="48" t="str"/>
      <x:c r="G91" s="48" t="str"/>
      <x:c r="H91" s="2"/>
      <x:c r="I91" s="2"/>
      <x:c r="J91" s="2"/>
    </x:row>
    <x:row r="92" ht="22" customHeight="1">
      <x:c r="A92" s="48" t="str">
        <x:v>MAP2K4</x:v>
      </x:c>
      <x:c r="B92" s="48" t="b">
        <x:f>IF(A92="","",COUNTIF($D$6:$D$435,A92)&gt;0)</x:f>
        <x:v>0</x:v>
      </x:c>
      <x:c r="C92" s="48" t="str">
        <x:f>IF(B92=TRUE,A92,"")</x:f>
      </x:c>
      <x:c r="D92" s="48" t="str">
        <x:v>CRP</x:v>
      </x:c>
      <x:c r="E92" s="48" t="str"/>
      <x:c r="F92" s="48" t="str"/>
      <x:c r="G92" s="48" t="str"/>
      <x:c r="H92" s="2"/>
      <x:c r="I92" s="2"/>
      <x:c r="J92" s="2"/>
    </x:row>
    <x:row r="93" ht="22" customHeight="1">
      <x:c r="A93" s="48" t="str">
        <x:v>MBOAT4</x:v>
      </x:c>
      <x:c r="B93" s="48" t="b">
        <x:f>IF(A93="","",COUNTIF($D$6:$D$435,A93)&gt;0)</x:f>
        <x:v>0</x:v>
      </x:c>
      <x:c r="C93" s="48" t="str">
        <x:f>IF(B93=TRUE,A93,"")</x:f>
      </x:c>
      <x:c r="D93" s="48" t="str">
        <x:v>CSF2</x:v>
      </x:c>
      <x:c r="E93" s="48" t="str"/>
      <x:c r="F93" s="48" t="str"/>
      <x:c r="G93" s="48" t="str"/>
      <x:c r="H93" s="2"/>
      <x:c r="I93" s="2"/>
      <x:c r="J93" s="2"/>
    </x:row>
    <x:row r="94" ht="22" customHeight="1">
      <x:c r="A94" s="48" t="str">
        <x:v>ME2</x:v>
      </x:c>
      <x:c r="B94" s="48" t="b">
        <x:f>IF(A94="","",COUNTIF($D$6:$D$435,A94)&gt;0)</x:f>
        <x:v>0</x:v>
      </x:c>
      <x:c r="C94" s="48" t="str">
        <x:f>IF(B94=TRUE,A94,"")</x:f>
      </x:c>
      <x:c r="D94" s="48" t="str">
        <x:v>CSF3</x:v>
      </x:c>
      <x:c r="E94" s="48" t="str"/>
      <x:c r="F94" s="48" t="str"/>
      <x:c r="G94" s="48" t="str"/>
      <x:c r="H94" s="2"/>
      <x:c r="I94" s="2"/>
      <x:c r="J94" s="2"/>
    </x:row>
    <x:row r="95" ht="22" customHeight="1">
      <x:c r="A95" s="48" t="str">
        <x:v>MIF</x:v>
      </x:c>
      <x:c r="B95" s="48" t="b">
        <x:f>IF(A95="","",COUNTIF($D$6:$D$435,A95)&gt;0)</x:f>
        <x:v>1</x:v>
      </x:c>
      <x:c r="C95" s="48" t="str">
        <x:f>IF(B95=TRUE,A95,"")</x:f>
        <x:v>MIF</x:v>
      </x:c>
      <x:c r="D95" s="48" t="str">
        <x:v>CST3</x:v>
      </x:c>
      <x:c r="E95" s="48" t="str"/>
      <x:c r="F95" s="48" t="str"/>
      <x:c r="G95" s="48" t="str"/>
      <x:c r="H95" s="2"/>
      <x:c r="I95" s="2"/>
      <x:c r="J95" s="2"/>
    </x:row>
    <x:row r="96" ht="22" customHeight="1">
      <x:c r="A96" s="48" t="str">
        <x:v>MTAP</x:v>
      </x:c>
      <x:c r="B96" s="48" t="b">
        <x:f>IF(A96="","",COUNTIF($D$6:$D$435,A96)&gt;0)</x:f>
        <x:v>0</x:v>
      </x:c>
      <x:c r="C96" s="48" t="str">
        <x:f>IF(B96=TRUE,A96,"")</x:f>
      </x:c>
      <x:c r="D96" s="48" t="str">
        <x:v>CTNNB1</x:v>
      </x:c>
      <x:c r="E96" s="48" t="str"/>
      <x:c r="F96" s="48" t="str"/>
      <x:c r="G96" s="48" t="str"/>
      <x:c r="H96" s="2"/>
      <x:c r="I96" s="2"/>
      <x:c r="J96" s="2"/>
    </x:row>
    <x:row r="97" ht="22" customHeight="1">
      <x:c r="A97" s="48" t="str">
        <x:v>MVD</x:v>
      </x:c>
      <x:c r="B97" s="48" t="b">
        <x:f>IF(A97="","",COUNTIF($D$6:$D$435,A97)&gt;0)</x:f>
        <x:v>0</x:v>
      </x:c>
      <x:c r="C97" s="48" t="str">
        <x:f>IF(B97=TRUE,A97,"")</x:f>
      </x:c>
      <x:c r="D97" s="48" t="str">
        <x:v>CTSA</x:v>
      </x:c>
      <x:c r="E97" s="48" t="str"/>
      <x:c r="F97" s="48" t="str"/>
      <x:c r="G97" s="48" t="str"/>
      <x:c r="H97" s="2"/>
      <x:c r="I97" s="2"/>
      <x:c r="J97" s="2"/>
    </x:row>
    <x:row r="98" ht="22" customHeight="1">
      <x:c r="A98" s="48" t="str">
        <x:v>MYLK</x:v>
      </x:c>
      <x:c r="B98" s="48" t="b">
        <x:f>IF(A98="","",COUNTIF($D$6:$D$435,A98)&gt;0)</x:f>
        <x:v>1</x:v>
      </x:c>
      <x:c r="C98" s="48" t="str">
        <x:f>IF(B98=TRUE,A98,"")</x:f>
        <x:v>MYLK</x:v>
      </x:c>
      <x:c r="D98" s="48" t="str">
        <x:v>CTSG</x:v>
      </x:c>
      <x:c r="E98" s="48" t="str"/>
      <x:c r="F98" s="48" t="str"/>
      <x:c r="G98" s="48" t="str"/>
      <x:c r="H98" s="2"/>
      <x:c r="I98" s="2"/>
      <x:c r="J98" s="2"/>
    </x:row>
    <x:row r="99" ht="22" customHeight="1">
      <x:c r="A99" s="48" t="str">
        <x:v>NFE2L2</x:v>
      </x:c>
      <x:c r="B99" s="48" t="b">
        <x:f>IF(A99="","",COUNTIF($D$6:$D$435,A99)&gt;0)</x:f>
        <x:v>1</x:v>
      </x:c>
      <x:c r="C99" s="48" t="str">
        <x:f>IF(B99=TRUE,A99,"")</x:f>
        <x:v>NFE2L2</x:v>
      </x:c>
      <x:c r="D99" s="48" t="str">
        <x:v>CXCL12</x:v>
      </x:c>
      <x:c r="E99" s="48" t="str"/>
      <x:c r="F99" s="48" t="str"/>
      <x:c r="G99" s="48" t="str"/>
      <x:c r="H99" s="2"/>
      <x:c r="I99" s="2"/>
      <x:c r="J99" s="2"/>
    </x:row>
    <x:row r="100" ht="22" customHeight="1">
      <x:c r="A100" s="48" t="str">
        <x:v>NFKB1</x:v>
      </x:c>
      <x:c r="B100" s="48" t="b">
        <x:f>IF(A100="","",COUNTIF($D$6:$D$435,A100)&gt;0)</x:f>
        <x:v>1</x:v>
      </x:c>
      <x:c r="C100" s="48" t="str">
        <x:f>IF(B100=TRUE,A100,"")</x:f>
        <x:v>NFKB1</x:v>
      </x:c>
      <x:c r="D100" s="48" t="str">
        <x:v>CXCL16</x:v>
      </x:c>
      <x:c r="E100" s="48" t="str"/>
      <x:c r="F100" s="48" t="str"/>
      <x:c r="G100" s="48" t="str"/>
      <x:c r="H100" s="2"/>
      <x:c r="I100" s="2"/>
      <x:c r="J100" s="2"/>
    </x:row>
    <x:row r="101" ht="22" customHeight="1">
      <x:c r="A101" s="48" t="str">
        <x:v>NR1H2</x:v>
      </x:c>
      <x:c r="B101" s="48" t="b">
        <x:f>IF(A101="","",COUNTIF($D$6:$D$435,A101)&gt;0)</x:f>
        <x:v>0</x:v>
      </x:c>
      <x:c r="C101" s="48" t="str">
        <x:f>IF(B101=TRUE,A101,"")</x:f>
      </x:c>
      <x:c r="D101" s="48" t="str">
        <x:v>CXCL8</x:v>
      </x:c>
      <x:c r="E101" s="48" t="str"/>
      <x:c r="F101" s="48" t="str"/>
      <x:c r="G101" s="48" t="str"/>
      <x:c r="H101" s="2"/>
      <x:c r="I101" s="2"/>
      <x:c r="J101" s="2"/>
    </x:row>
    <x:row r="102" ht="22" customHeight="1">
      <x:c r="A102" s="48" t="str">
        <x:v>NR2C2</x:v>
      </x:c>
      <x:c r="B102" s="48" t="b">
        <x:f>IF(A102="","",COUNTIF($D$6:$D$435,A102)&gt;0)</x:f>
        <x:v>0</x:v>
      </x:c>
      <x:c r="C102" s="48" t="str">
        <x:f>IF(B102=TRUE,A102,"")</x:f>
      </x:c>
      <x:c r="D102" s="48" t="str">
        <x:v>CXCR4</x:v>
      </x:c>
      <x:c r="E102" s="48" t="str"/>
      <x:c r="F102" s="48" t="str"/>
      <x:c r="G102" s="48" t="str"/>
      <x:c r="H102" s="2"/>
      <x:c r="I102" s="2"/>
      <x:c r="J102" s="2"/>
    </x:row>
    <x:row r="103" ht="22" customHeight="1">
      <x:c r="A103" s="48" t="str">
        <x:v>NR3C1</x:v>
      </x:c>
      <x:c r="B103" s="48" t="b">
        <x:f>IF(A103="","",COUNTIF($D$6:$D$435,A103)&gt;0)</x:f>
        <x:v>0</x:v>
      </x:c>
      <x:c r="C103" s="48" t="str">
        <x:f>IF(B103=TRUE,A103,"")</x:f>
      </x:c>
      <x:c r="D103" s="48" t="str">
        <x:v>CYBB</x:v>
      </x:c>
      <x:c r="E103" s="48" t="str"/>
      <x:c r="F103" s="48" t="str"/>
      <x:c r="G103" s="48" t="str"/>
      <x:c r="H103" s="2"/>
      <x:c r="I103" s="2"/>
      <x:c r="J103" s="2"/>
    </x:row>
    <x:row r="104" ht="22" customHeight="1">
      <x:c r="A104" s="48" t="str">
        <x:v>NR4A2</x:v>
      </x:c>
      <x:c r="B104" s="48" t="b">
        <x:f>IF(A104="","",COUNTIF($D$6:$D$435,A104)&gt;0)</x:f>
        <x:v>0</x:v>
      </x:c>
      <x:c r="C104" s="48" t="str">
        <x:f>IF(B104=TRUE,A104,"")</x:f>
      </x:c>
      <x:c r="D104" s="48" t="str">
        <x:v>CYP2C19</x:v>
      </x:c>
      <x:c r="E104" s="48" t="str"/>
      <x:c r="F104" s="48" t="str"/>
      <x:c r="G104" s="48" t="str"/>
      <x:c r="H104" s="2"/>
      <x:c r="I104" s="2"/>
      <x:c r="J104" s="2"/>
    </x:row>
    <x:row r="105" ht="22" customHeight="1">
      <x:c r="A105" s="48" t="str">
        <x:v>NT5E</x:v>
      </x:c>
      <x:c r="B105" s="48" t="b">
        <x:f>IF(A105="","",COUNTIF($D$6:$D$435,A105)&gt;0)</x:f>
        <x:v>0</x:v>
      </x:c>
      <x:c r="C105" s="48" t="str">
        <x:f>IF(B105=TRUE,A105,"")</x:f>
      </x:c>
      <x:c r="D105" s="48" t="str">
        <x:v>CYP2C8</x:v>
      </x:c>
      <x:c r="E105" s="48" t="str"/>
      <x:c r="F105" s="48" t="str"/>
      <x:c r="G105" s="48" t="str"/>
      <x:c r="H105" s="2"/>
      <x:c r="I105" s="2"/>
      <x:c r="J105" s="2"/>
    </x:row>
    <x:row r="106" ht="22" customHeight="1">
      <x:c r="A106" s="48" t="str">
        <x:v>OGA</x:v>
      </x:c>
      <x:c r="B106" s="48" t="b">
        <x:f>IF(A106="","",COUNTIF($D$6:$D$435,A106)&gt;0)</x:f>
        <x:v>0</x:v>
      </x:c>
      <x:c r="C106" s="48" t="str">
        <x:f>IF(B106=TRUE,A106,"")</x:f>
      </x:c>
      <x:c r="D106" s="48" t="str">
        <x:v>CYP2C9</x:v>
      </x:c>
      <x:c r="E106" s="48" t="str"/>
      <x:c r="F106" s="48" t="str"/>
      <x:c r="G106" s="48" t="str"/>
      <x:c r="H106" s="2"/>
      <x:c r="I106" s="2"/>
      <x:c r="J106" s="2"/>
    </x:row>
    <x:row r="107" ht="22" customHeight="1">
      <x:c r="A107" s="48" t="str">
        <x:v>OPRD1</x:v>
      </x:c>
      <x:c r="B107" s="48" t="b">
        <x:f>IF(A107="","",COUNTIF($D$6:$D$435,A107)&gt;0)</x:f>
        <x:v>0</x:v>
      </x:c>
      <x:c r="C107" s="48" t="str">
        <x:f>IF(B107=TRUE,A107,"")</x:f>
      </x:c>
      <x:c r="D107" s="48" t="str">
        <x:v>CYP3A4</x:v>
      </x:c>
      <x:c r="E107" s="48" t="str"/>
      <x:c r="F107" s="48" t="str"/>
      <x:c r="G107" s="48" t="str"/>
      <x:c r="H107" s="2"/>
      <x:c r="I107" s="2"/>
      <x:c r="J107" s="2"/>
    </x:row>
    <x:row r="108" ht="22" customHeight="1">
      <x:c r="A108" s="48" t="str">
        <x:v>OPRK1</x:v>
      </x:c>
      <x:c r="B108" s="48" t="b">
        <x:f>IF(A108="","",COUNTIF($D$6:$D$435,A108)&gt;0)</x:f>
        <x:v>0</x:v>
      </x:c>
      <x:c r="C108" s="48" t="str">
        <x:f>IF(B108=TRUE,A108,"")</x:f>
      </x:c>
      <x:c r="D108" s="48" t="str">
        <x:v>CYP3A5</x:v>
      </x:c>
      <x:c r="E108" s="48" t="str"/>
      <x:c r="F108" s="48" t="str"/>
      <x:c r="G108" s="48" t="str"/>
      <x:c r="H108" s="2"/>
      <x:c r="I108" s="2"/>
      <x:c r="J108" s="2"/>
    </x:row>
    <x:row r="109" ht="22" customHeight="1">
      <x:c r="A109" s="48" t="str">
        <x:v>OPRL1</x:v>
      </x:c>
      <x:c r="B109" s="48" t="b">
        <x:f>IF(A109="","",COUNTIF($D$6:$D$435,A109)&gt;0)</x:f>
        <x:v>0</x:v>
      </x:c>
      <x:c r="C109" s="48" t="str">
        <x:f>IF(B109=TRUE,A109,"")</x:f>
      </x:c>
      <x:c r="D109" s="48" t="str">
        <x:v>CYP4A11</x:v>
      </x:c>
      <x:c r="E109" s="48" t="str"/>
      <x:c r="F109" s="48" t="str"/>
      <x:c r="G109" s="48" t="str"/>
      <x:c r="H109" s="2"/>
      <x:c r="I109" s="2"/>
      <x:c r="J109" s="2"/>
    </x:row>
    <x:row r="110" ht="22" customHeight="1">
      <x:c r="A110" s="48" t="str">
        <x:v>OPRM1</x:v>
      </x:c>
      <x:c r="B110" s="48" t="b">
        <x:f>IF(A110="","",COUNTIF($D$6:$D$435,A110)&gt;0)</x:f>
        <x:v>0</x:v>
      </x:c>
      <x:c r="C110" s="48" t="str">
        <x:f>IF(B110=TRUE,A110,"")</x:f>
      </x:c>
      <x:c r="D110" s="48" t="str">
        <x:v>CYP4F2</x:v>
      </x:c>
      <x:c r="E110" s="48" t="str"/>
      <x:c r="F110" s="48" t="str"/>
      <x:c r="G110" s="48" t="str"/>
      <x:c r="H110" s="2"/>
      <x:c r="I110" s="2"/>
      <x:c r="J110" s="2"/>
    </x:row>
    <x:row r="111" ht="22" customHeight="1">
      <x:c r="A111" s="48" t="str">
        <x:v>PAX8</x:v>
      </x:c>
      <x:c r="B111" s="48" t="b">
        <x:f>IF(A111="","",COUNTIF($D$6:$D$435,A111)&gt;0)</x:f>
        <x:v>0</x:v>
      </x:c>
      <x:c r="C111" s="48" t="str">
        <x:f>IF(B111=TRUE,A111,"")</x:f>
      </x:c>
      <x:c r="D111" s="48" t="str">
        <x:v>DBH</x:v>
      </x:c>
      <x:c r="E111" s="48" t="str"/>
      <x:c r="F111" s="48" t="str"/>
      <x:c r="G111" s="48" t="str"/>
      <x:c r="H111" s="2"/>
      <x:c r="I111" s="2"/>
      <x:c r="J111" s="2"/>
    </x:row>
    <x:row r="112" ht="22" customHeight="1">
      <x:c r="A112" s="48" t="str">
        <x:v>PDE5A</x:v>
      </x:c>
      <x:c r="B112" s="48" t="b">
        <x:f>IF(A112="","",COUNTIF($D$6:$D$435,A112)&gt;0)</x:f>
        <x:v>0</x:v>
      </x:c>
      <x:c r="C112" s="48" t="str">
        <x:f>IF(B112=TRUE,A112,"")</x:f>
      </x:c>
      <x:c r="D112" s="48" t="str">
        <x:v>DECR1</x:v>
      </x:c>
      <x:c r="E112" s="48" t="str"/>
      <x:c r="F112" s="48" t="str"/>
      <x:c r="G112" s="48" t="str"/>
      <x:c r="H112" s="2"/>
      <x:c r="I112" s="2"/>
      <x:c r="J112" s="2"/>
    </x:row>
    <x:row r="113" ht="22" customHeight="1">
      <x:c r="A113" s="48" t="str">
        <x:v>PEPD</x:v>
      </x:c>
      <x:c r="B113" s="48" t="b">
        <x:f>IF(A113="","",COUNTIF($D$6:$D$435,A113)&gt;0)</x:f>
        <x:v>0</x:v>
      </x:c>
      <x:c r="C113" s="48" t="str">
        <x:f>IF(B113=TRUE,A113,"")</x:f>
      </x:c>
      <x:c r="D113" s="48" t="str">
        <x:v>DIDO1</x:v>
      </x:c>
      <x:c r="E113" s="48" t="str"/>
      <x:c r="F113" s="48" t="str"/>
      <x:c r="G113" s="48" t="str"/>
      <x:c r="H113" s="2"/>
      <x:c r="I113" s="2"/>
      <x:c r="J113" s="2"/>
    </x:row>
    <x:row r="114" ht="22" customHeight="1">
      <x:c r="A114" s="48" t="str">
        <x:v>PGR</x:v>
      </x:c>
      <x:c r="B114" s="48" t="b">
        <x:f>IF(A114="","",COUNTIF($D$6:$D$435,A114)&gt;0)</x:f>
        <x:v>0</x:v>
      </x:c>
      <x:c r="C114" s="48" t="str">
        <x:f>IF(B114=TRUE,A114,"")</x:f>
      </x:c>
      <x:c r="D114" s="48" t="str">
        <x:v>DKK1</x:v>
      </x:c>
      <x:c r="E114" s="48" t="str"/>
      <x:c r="F114" s="48" t="str"/>
      <x:c r="G114" s="48" t="str"/>
      <x:c r="H114" s="2"/>
      <x:c r="I114" s="2"/>
      <x:c r="J114" s="2"/>
    </x:row>
    <x:row r="115" ht="22" customHeight="1">
      <x:c r="A115" s="48" t="str">
        <x:v>PIM1</x:v>
      </x:c>
      <x:c r="B115" s="48" t="b">
        <x:f>IF(A115="","",COUNTIF($D$6:$D$435,A115)&gt;0)</x:f>
        <x:v>0</x:v>
      </x:c>
      <x:c r="C115" s="48" t="str">
        <x:f>IF(B115=TRUE,A115,"")</x:f>
      </x:c>
      <x:c r="D115" s="48" t="str">
        <x:v>DKK3</x:v>
      </x:c>
      <x:c r="E115" s="48" t="str"/>
      <x:c r="F115" s="48" t="str"/>
      <x:c r="G115" s="48" t="str"/>
      <x:c r="H115" s="2"/>
      <x:c r="I115" s="2"/>
      <x:c r="J115" s="2"/>
    </x:row>
    <x:row r="116" ht="22" customHeight="1">
      <x:c r="A116" s="48" t="str">
        <x:v>PKM</x:v>
      </x:c>
      <x:c r="B116" s="48" t="b">
        <x:f>IF(A116="","",COUNTIF($D$6:$D$435,A116)&gt;0)</x:f>
        <x:v>0</x:v>
      </x:c>
      <x:c r="C116" s="48" t="str">
        <x:f>IF(B116=TRUE,A116,"")</x:f>
      </x:c>
      <x:c r="D116" s="48" t="str">
        <x:v>DLG4</x:v>
      </x:c>
      <x:c r="E116" s="48" t="str"/>
      <x:c r="F116" s="48" t="str"/>
      <x:c r="G116" s="48" t="str"/>
      <x:c r="H116" s="2"/>
      <x:c r="I116" s="2"/>
      <x:c r="J116" s="2"/>
    </x:row>
    <x:row r="117" ht="22" customHeight="1">
      <x:c r="A117" s="48" t="str">
        <x:v>PNLIP</x:v>
      </x:c>
      <x:c r="B117" s="48" t="b">
        <x:f>IF(A117="","",COUNTIF($D$6:$D$435,A117)&gt;0)</x:f>
        <x:v>0</x:v>
      </x:c>
      <x:c r="C117" s="48" t="str">
        <x:f>IF(B117=TRUE,A117,"")</x:f>
      </x:c>
      <x:c r="D117" s="48" t="str">
        <x:v>DLGAP4</x:v>
      </x:c>
      <x:c r="E117" s="48" t="str"/>
      <x:c r="F117" s="48" t="str"/>
      <x:c r="G117" s="48" t="str"/>
      <x:c r="H117" s="2"/>
      <x:c r="I117" s="2"/>
      <x:c r="J117" s="2"/>
    </x:row>
    <x:row r="118" ht="22" customHeight="1">
      <x:c r="A118" s="48" t="str">
        <x:v>POLB</x:v>
      </x:c>
      <x:c r="B118" s="48" t="b">
        <x:f>IF(A118="","",COUNTIF($D$6:$D$435,A118)&gt;0)</x:f>
        <x:v>0</x:v>
      </x:c>
      <x:c r="C118" s="48" t="str">
        <x:f>IF(B118=TRUE,A118,"")</x:f>
      </x:c>
      <x:c r="D118" s="48" t="str">
        <x:v>DNASE1</x:v>
      </x:c>
      <x:c r="E118" s="48" t="str"/>
      <x:c r="F118" s="48" t="str"/>
      <x:c r="G118" s="48" t="str"/>
      <x:c r="H118" s="2"/>
      <x:c r="I118" s="2"/>
      <x:c r="J118" s="2"/>
    </x:row>
    <x:row r="119" ht="22" customHeight="1">
      <x:c r="A119" s="48" t="str">
        <x:v>PPARG</x:v>
      </x:c>
      <x:c r="B119" s="48" t="b">
        <x:f>IF(A119="","",COUNTIF($D$6:$D$435,A119)&gt;0)</x:f>
        <x:v>0</x:v>
      </x:c>
      <x:c r="C119" s="48" t="str">
        <x:f>IF(B119=TRUE,A119,"")</x:f>
      </x:c>
      <x:c r="D119" s="48" t="str">
        <x:v>DNMT3A</x:v>
      </x:c>
      <x:c r="E119" s="48" t="str"/>
      <x:c r="F119" s="48" t="str"/>
      <x:c r="G119" s="48" t="str"/>
      <x:c r="H119" s="2"/>
      <x:c r="I119" s="2"/>
      <x:c r="J119" s="2"/>
    </x:row>
    <x:row r="120" ht="22" customHeight="1">
      <x:c r="A120" s="48" t="str">
        <x:v>PPIA</x:v>
      </x:c>
      <x:c r="B120" s="48" t="b">
        <x:f>IF(A120="","",COUNTIF($D$6:$D$435,A120)&gt;0)</x:f>
        <x:v>0</x:v>
      </x:c>
      <x:c r="C120" s="48" t="str">
        <x:f>IF(B120=TRUE,A120,"")</x:f>
      </x:c>
      <x:c r="D120" s="48" t="str">
        <x:v>DPP4</x:v>
      </x:c>
      <x:c r="E120" s="48" t="str"/>
      <x:c r="F120" s="48" t="str"/>
      <x:c r="G120" s="48" t="str"/>
      <x:c r="H120" s="2"/>
      <x:c r="I120" s="2"/>
      <x:c r="J120" s="2"/>
    </x:row>
    <x:row r="121" ht="22" customHeight="1">
      <x:c r="A121" s="48" t="str">
        <x:v>PPID</x:v>
      </x:c>
      <x:c r="B121" s="48" t="b">
        <x:f>IF(A121="","",COUNTIF($D$6:$D$435,A121)&gt;0)</x:f>
        <x:v>0</x:v>
      </x:c>
      <x:c r="C121" s="48" t="str">
        <x:f>IF(B121=TRUE,A121,"")</x:f>
      </x:c>
      <x:c r="D121" s="48" t="str">
        <x:v>DUSP2</x:v>
      </x:c>
      <x:c r="E121" s="48" t="str"/>
      <x:c r="F121" s="48" t="str"/>
      <x:c r="G121" s="48" t="str"/>
      <x:c r="H121" s="2"/>
      <x:c r="I121" s="2"/>
      <x:c r="J121" s="2"/>
    </x:row>
    <x:row r="122" ht="22" customHeight="1">
      <x:c r="A122" s="48" t="str">
        <x:v>PPM1B</x:v>
      </x:c>
      <x:c r="B122" s="48" t="b">
        <x:f>IF(A122="","",COUNTIF($D$6:$D$435,A122)&gt;0)</x:f>
        <x:v>0</x:v>
      </x:c>
      <x:c r="C122" s="48" t="str">
        <x:f>IF(B122=TRUE,A122,"")</x:f>
      </x:c>
      <x:c r="D122" s="48" t="str">
        <x:v>DUSP22</x:v>
      </x:c>
      <x:c r="E122" s="48" t="str"/>
      <x:c r="F122" s="48" t="str"/>
      <x:c r="G122" s="48" t="str"/>
      <x:c r="H122" s="2"/>
      <x:c r="I122" s="2"/>
      <x:c r="J122" s="2"/>
    </x:row>
    <x:row r="123" ht="22" customHeight="1">
      <x:c r="A123" s="48" t="str">
        <x:v>PPP5C</x:v>
      </x:c>
      <x:c r="B123" s="48" t="b">
        <x:f>IF(A123="","",COUNTIF($D$6:$D$435,A123)&gt;0)</x:f>
        <x:v>0</x:v>
      </x:c>
      <x:c r="C123" s="48" t="str">
        <x:f>IF(B123=TRUE,A123,"")</x:f>
      </x:c>
      <x:c r="D123" s="48" t="str">
        <x:v>EDN1</x:v>
      </x:c>
      <x:c r="E123" s="48" t="str"/>
      <x:c r="F123" s="48" t="str"/>
      <x:c r="G123" s="48" t="str"/>
      <x:c r="H123" s="2"/>
      <x:c r="I123" s="2"/>
      <x:c r="J123" s="2"/>
    </x:row>
    <x:row r="124" ht="22" customHeight="1">
      <x:c r="A124" s="48" t="str">
        <x:v>PRKAA2</x:v>
      </x:c>
      <x:c r="B124" s="48" t="b">
        <x:f>IF(A124="","",COUNTIF($D$6:$D$435,A124)&gt;0)</x:f>
        <x:v>0</x:v>
      </x:c>
      <x:c r="C124" s="48" t="str">
        <x:f>IF(B124=TRUE,A124,"")</x:f>
      </x:c>
      <x:c r="D124" s="48" t="str">
        <x:v>EFEMP2</x:v>
      </x:c>
      <x:c r="E124" s="48" t="str"/>
      <x:c r="F124" s="48" t="str"/>
      <x:c r="G124" s="48" t="str"/>
      <x:c r="H124" s="2"/>
      <x:c r="I124" s="2"/>
      <x:c r="J124" s="2"/>
    </x:row>
    <x:row r="125" ht="22" customHeight="1">
      <x:c r="A125" s="48" t="str">
        <x:v>PRKAB1</x:v>
      </x:c>
      <x:c r="B125" s="48" t="b">
        <x:f>IF(A125="","",COUNTIF($D$6:$D$435,A125)&gt;0)</x:f>
        <x:v>0</x:v>
      </x:c>
      <x:c r="C125" s="48" t="str">
        <x:f>IF(B125=TRUE,A125,"")</x:f>
      </x:c>
      <x:c r="D125" s="48" t="str">
        <x:v>ELANE</x:v>
      </x:c>
      <x:c r="E125" s="48" t="str"/>
      <x:c r="F125" s="48" t="str"/>
      <x:c r="G125" s="48" t="str"/>
      <x:c r="H125" s="2"/>
      <x:c r="I125" s="2"/>
      <x:c r="J125" s="2"/>
    </x:row>
    <x:row r="126" ht="22" customHeight="1">
      <x:c r="A126" s="48" t="str">
        <x:v>PRKACA</x:v>
      </x:c>
      <x:c r="B126" s="48" t="b">
        <x:f>IF(A126="","",COUNTIF($D$6:$D$435,A126)&gt;0)</x:f>
        <x:v>0</x:v>
      </x:c>
      <x:c r="C126" s="48" t="str">
        <x:f>IF(B126=TRUE,A126,"")</x:f>
      </x:c>
      <x:c r="D126" s="48" t="str">
        <x:v>ELN</x:v>
      </x:c>
      <x:c r="E126" s="48" t="str"/>
      <x:c r="F126" s="48" t="str"/>
      <x:c r="G126" s="48" t="str"/>
      <x:c r="H126" s="2"/>
      <x:c r="I126" s="2"/>
      <x:c r="J126" s="2"/>
    </x:row>
    <x:row r="127" ht="22" customHeight="1">
      <x:c r="A127" s="48" t="str">
        <x:v>PRKAG1</x:v>
      </x:c>
      <x:c r="B127" s="48" t="b">
        <x:f>IF(A127="","",COUNTIF($D$6:$D$435,A127)&gt;0)</x:f>
        <x:v>0</x:v>
      </x:c>
      <x:c r="C127" s="48" t="str">
        <x:f>IF(B127=TRUE,A127,"")</x:f>
      </x:c>
      <x:c r="D127" s="48" t="str">
        <x:v>ENG</x:v>
      </x:c>
      <x:c r="E127" s="48" t="str"/>
      <x:c r="F127" s="48" t="str"/>
      <x:c r="G127" s="48" t="str"/>
      <x:c r="H127" s="2"/>
      <x:c r="I127" s="2"/>
      <x:c r="J127" s="2"/>
    </x:row>
    <x:row r="128" ht="22" customHeight="1">
      <x:c r="A128" s="48" t="str">
        <x:v>PRKCA</x:v>
      </x:c>
      <x:c r="B128" s="48" t="b">
        <x:f>IF(A128="","",COUNTIF($D$6:$D$435,A128)&gt;0)</x:f>
        <x:v>0</x:v>
      </x:c>
      <x:c r="C128" s="48" t="str">
        <x:f>IF(B128=TRUE,A128,"")</x:f>
      </x:c>
      <x:c r="D128" s="48" t="str">
        <x:v>ENHO</x:v>
      </x:c>
      <x:c r="E128" s="48" t="str"/>
      <x:c r="F128" s="48" t="str"/>
      <x:c r="G128" s="48" t="str"/>
      <x:c r="H128" s="2"/>
      <x:c r="I128" s="2"/>
      <x:c r="J128" s="2"/>
    </x:row>
    <x:row r="129" ht="22" customHeight="1">
      <x:c r="A129" s="48" t="str">
        <x:v>PRKCD</x:v>
      </x:c>
      <x:c r="B129" s="48" t="b">
        <x:f>IF(A129="","",COUNTIF($D$6:$D$435,A129)&gt;0)</x:f>
        <x:v>0</x:v>
      </x:c>
      <x:c r="C129" s="48" t="str">
        <x:f>IF(B129=TRUE,A129,"")</x:f>
      </x:c>
      <x:c r="D129" s="48" t="str">
        <x:v>ENO1</x:v>
      </x:c>
      <x:c r="E129" s="48" t="str"/>
      <x:c r="F129" s="48" t="str"/>
      <x:c r="G129" s="48" t="str"/>
      <x:c r="H129" s="2"/>
      <x:c r="I129" s="2"/>
      <x:c r="J129" s="2"/>
    </x:row>
    <x:row r="130" ht="22" customHeight="1">
      <x:c r="A130" s="48" t="str">
        <x:v>PRKCE</x:v>
      </x:c>
      <x:c r="B130" s="48" t="b">
        <x:f>IF(A130="","",COUNTIF($D$6:$D$435,A130)&gt;0)</x:f>
        <x:v>0</x:v>
      </x:c>
      <x:c r="C130" s="48" t="str">
        <x:f>IF(B130=TRUE,A130,"")</x:f>
      </x:c>
      <x:c r="D130" s="48" t="str">
        <x:v>ENO2</x:v>
      </x:c>
      <x:c r="E130" s="48" t="str"/>
      <x:c r="F130" s="48" t="str"/>
      <x:c r="G130" s="48" t="str"/>
      <x:c r="H130" s="2"/>
      <x:c r="I130" s="2"/>
      <x:c r="J130" s="2"/>
    </x:row>
    <x:row r="131" ht="22" customHeight="1">
      <x:c r="A131" s="48" t="str">
        <x:v>PRKCG</x:v>
      </x:c>
      <x:c r="B131" s="48" t="b">
        <x:f>IF(A131="","",COUNTIF($D$6:$D$435,A131)&gt;0)</x:f>
        <x:v>0</x:v>
      </x:c>
      <x:c r="C131" s="48" t="str">
        <x:f>IF(B131=TRUE,A131,"")</x:f>
      </x:c>
      <x:c r="D131" s="48" t="str">
        <x:v>EP300</x:v>
      </x:c>
      <x:c r="E131" s="48" t="str"/>
      <x:c r="F131" s="48" t="str"/>
      <x:c r="G131" s="48" t="str"/>
      <x:c r="H131" s="2"/>
      <x:c r="I131" s="2"/>
      <x:c r="J131" s="2"/>
    </x:row>
    <x:row r="132" ht="22" customHeight="1">
      <x:c r="A132" s="48" t="str">
        <x:v>PSMB1</x:v>
      </x:c>
      <x:c r="B132" s="48" t="b">
        <x:f>IF(A132="","",COUNTIF($D$6:$D$435,A132)&gt;0)</x:f>
        <x:v>0</x:v>
      </x:c>
      <x:c r="C132" s="48" t="str">
        <x:f>IF(B132=TRUE,A132,"")</x:f>
      </x:c>
      <x:c r="D132" s="48" t="str">
        <x:v>EPHX2</x:v>
      </x:c>
      <x:c r="E132" s="48" t="str"/>
      <x:c r="F132" s="48" t="str"/>
      <x:c r="G132" s="48" t="str"/>
      <x:c r="H132" s="2"/>
      <x:c r="I132" s="2"/>
      <x:c r="J132" s="2"/>
    </x:row>
    <x:row r="133" ht="22" customHeight="1">
      <x:c r="A133" s="48" t="str">
        <x:v>PTAFR</x:v>
      </x:c>
      <x:c r="B133" s="48" t="b">
        <x:f>IF(A133="","",COUNTIF($D$6:$D$435,A133)&gt;0)</x:f>
        <x:v>0</x:v>
      </x:c>
      <x:c r="C133" s="48" t="str">
        <x:f>IF(B133=TRUE,A133,"")</x:f>
      </x:c>
      <x:c r="D133" s="48" t="str">
        <x:v>EPO</x:v>
      </x:c>
      <x:c r="E133" s="48" t="str"/>
      <x:c r="F133" s="48" t="str"/>
      <x:c r="G133" s="48" t="str"/>
      <x:c r="H133" s="2"/>
      <x:c r="I133" s="2"/>
      <x:c r="J133" s="2"/>
    </x:row>
    <x:row r="134" ht="22" customHeight="1">
      <x:c r="A134" s="48" t="str">
        <x:v>PTGFR</x:v>
      </x:c>
      <x:c r="B134" s="48" t="b">
        <x:f>IF(A134="","",COUNTIF($D$6:$D$435,A134)&gt;0)</x:f>
        <x:v>0</x:v>
      </x:c>
      <x:c r="C134" s="48" t="str">
        <x:f>IF(B134=TRUE,A134,"")</x:f>
      </x:c>
      <x:c r="D134" s="48" t="str">
        <x:v>ESR1</x:v>
      </x:c>
      <x:c r="E134" s="48" t="str"/>
      <x:c r="F134" s="48" t="str"/>
      <x:c r="G134" s="48" t="str"/>
      <x:c r="H134" s="2"/>
      <x:c r="I134" s="2"/>
      <x:c r="J134" s="2"/>
    </x:row>
    <x:row r="135" ht="22" customHeight="1">
      <x:c r="A135" s="48" t="str">
        <x:v>PTGIR</x:v>
      </x:c>
      <x:c r="B135" s="48" t="b">
        <x:f>IF(A135="","",COUNTIF($D$6:$D$435,A135)&gt;0)</x:f>
        <x:v>0</x:v>
      </x:c>
      <x:c r="C135" s="48" t="str">
        <x:f>IF(B135=TRUE,A135,"")</x:f>
      </x:c>
      <x:c r="D135" s="48" t="str">
        <x:v>ESR2</x:v>
      </x:c>
      <x:c r="E135" s="48" t="str"/>
      <x:c r="F135" s="48" t="str"/>
      <x:c r="G135" s="48" t="str"/>
      <x:c r="H135" s="2"/>
      <x:c r="I135" s="2"/>
      <x:c r="J135" s="2"/>
    </x:row>
    <x:row r="136" ht="22" customHeight="1">
      <x:c r="A136" s="48" t="str">
        <x:v>PTPRC</x:v>
      </x:c>
      <x:c r="B136" s="48" t="b">
        <x:f>IF(A136="","",COUNTIF($D$6:$D$435,A136)&gt;0)</x:f>
        <x:v>0</x:v>
      </x:c>
      <x:c r="C136" s="48" t="str">
        <x:f>IF(B136=TRUE,A136,"")</x:f>
      </x:c>
      <x:c r="D136" s="48" t="str">
        <x:v>F12</x:v>
      </x:c>
      <x:c r="E136" s="48" t="str"/>
      <x:c r="F136" s="48" t="str"/>
      <x:c r="G136" s="48" t="str"/>
      <x:c r="H136" s="2"/>
      <x:c r="I136" s="2"/>
      <x:c r="J136" s="2"/>
    </x:row>
    <x:row r="137" ht="22" customHeight="1">
      <x:c r="A137" s="48" t="str">
        <x:v>RELA</x:v>
      </x:c>
      <x:c r="B137" s="48" t="b">
        <x:f>IF(A137="","",COUNTIF($D$6:$D$435,A137)&gt;0)</x:f>
        <x:v>1</x:v>
      </x:c>
      <x:c r="C137" s="48" t="str">
        <x:f>IF(B137=TRUE,A137,"")</x:f>
        <x:v>RELA</x:v>
      </x:c>
      <x:c r="D137" s="48" t="str">
        <x:v>F13A1</x:v>
      </x:c>
      <x:c r="E137" s="48" t="str"/>
      <x:c r="F137" s="48" t="str"/>
      <x:c r="G137" s="48" t="str"/>
      <x:c r="H137" s="2"/>
      <x:c r="I137" s="2"/>
      <x:c r="J137" s="2"/>
    </x:row>
    <x:row r="138" ht="22" customHeight="1">
      <x:c r="A138" s="48" t="str">
        <x:v>REN</x:v>
      </x:c>
      <x:c r="B138" s="48" t="b">
        <x:f>IF(A138="","",COUNTIF($D$6:$D$435,A138)&gt;0)</x:f>
        <x:v>0</x:v>
      </x:c>
      <x:c r="C138" s="48" t="str">
        <x:f>IF(B138=TRUE,A138,"")</x:f>
      </x:c>
      <x:c r="D138" s="48" t="str">
        <x:v>F2</x:v>
      </x:c>
      <x:c r="E138" s="48" t="str"/>
      <x:c r="F138" s="48" t="str"/>
      <x:c r="G138" s="48" t="str"/>
      <x:c r="H138" s="2"/>
      <x:c r="I138" s="2"/>
      <x:c r="J138" s="2"/>
    </x:row>
    <x:row r="139" ht="22" customHeight="1">
      <x:c r="A139" s="48" t="str">
        <x:v>RORC</x:v>
      </x:c>
      <x:c r="B139" s="48" t="b">
        <x:f>IF(A139="","",COUNTIF($D$6:$D$435,A139)&gt;0)</x:f>
        <x:v>0</x:v>
      </x:c>
      <x:c r="C139" s="48" t="str">
        <x:f>IF(B139=TRUE,A139,"")</x:f>
      </x:c>
      <x:c r="D139" s="48" t="str">
        <x:v>F2R</x:v>
      </x:c>
      <x:c r="E139" s="48" t="str"/>
      <x:c r="F139" s="48" t="str"/>
      <x:c r="G139" s="48" t="str"/>
      <x:c r="H139" s="2"/>
      <x:c r="I139" s="2"/>
      <x:c r="J139" s="2"/>
    </x:row>
    <x:row r="140" ht="22" customHeight="1">
      <x:c r="A140" s="48" t="str">
        <x:v>SCN1A</x:v>
      </x:c>
      <x:c r="B140" s="48" t="b">
        <x:f>IF(A140="","",COUNTIF($D$6:$D$435,A140)&gt;0)</x:f>
        <x:v>0</x:v>
      </x:c>
      <x:c r="C140" s="48" t="str">
        <x:f>IF(B140=TRUE,A140,"")</x:f>
      </x:c>
      <x:c r="D140" s="48" t="str">
        <x:v>F3</x:v>
      </x:c>
      <x:c r="E140" s="48" t="str"/>
      <x:c r="F140" s="48" t="str"/>
      <x:c r="G140" s="48" t="str"/>
      <x:c r="H140" s="2"/>
      <x:c r="I140" s="2"/>
      <x:c r="J140" s="2"/>
    </x:row>
    <x:row r="141" ht="22" customHeight="1">
      <x:c r="A141" s="48" t="str">
        <x:v>SENP1</x:v>
      </x:c>
      <x:c r="B141" s="48" t="b">
        <x:f>IF(A141="","",COUNTIF($D$6:$D$435,A141)&gt;0)</x:f>
        <x:v>0</x:v>
      </x:c>
      <x:c r="C141" s="48" t="str">
        <x:f>IF(B141=TRUE,A141,"")</x:f>
      </x:c>
      <x:c r="D141" s="48" t="str">
        <x:v>F5</x:v>
      </x:c>
      <x:c r="E141" s="48" t="str"/>
      <x:c r="F141" s="48" t="str"/>
      <x:c r="G141" s="48" t="str"/>
      <x:c r="H141" s="2"/>
      <x:c r="I141" s="2"/>
      <x:c r="J141" s="2"/>
    </x:row>
    <x:row r="142" ht="22" customHeight="1">
      <x:c r="A142" s="48" t="str">
        <x:v>SF3B3</x:v>
      </x:c>
      <x:c r="B142" s="48" t="b">
        <x:f>IF(A142="","",COUNTIF($D$6:$D$435,A142)&gt;0)</x:f>
        <x:v>0</x:v>
      </x:c>
      <x:c r="C142" s="48" t="str">
        <x:f>IF(B142=TRUE,A142,"")</x:f>
      </x:c>
      <x:c r="D142" s="48" t="str">
        <x:v>F7</x:v>
      </x:c>
      <x:c r="E142" s="48" t="str"/>
      <x:c r="F142" s="48" t="str"/>
      <x:c r="G142" s="48" t="str"/>
      <x:c r="H142" s="2"/>
      <x:c r="I142" s="2"/>
      <x:c r="J142" s="2"/>
    </x:row>
    <x:row r="143" ht="22" customHeight="1">
      <x:c r="A143" s="48" t="str">
        <x:v>SHBG</x:v>
      </x:c>
      <x:c r="B143" s="48" t="b">
        <x:f>IF(A143="","",COUNTIF($D$6:$D$435,A143)&gt;0)</x:f>
        <x:v>0</x:v>
      </x:c>
      <x:c r="C143" s="48" t="str">
        <x:f>IF(B143=TRUE,A143,"")</x:f>
      </x:c>
      <x:c r="D143" s="48" t="str">
        <x:v>F8</x:v>
      </x:c>
      <x:c r="E143" s="48" t="str"/>
      <x:c r="F143" s="48" t="str"/>
      <x:c r="G143" s="48" t="str"/>
      <x:c r="H143" s="2"/>
      <x:c r="I143" s="2"/>
      <x:c r="J143" s="2"/>
    </x:row>
    <x:row r="144" ht="22" customHeight="1">
      <x:c r="A144" s="48" t="str">
        <x:v>SIGMAR1</x:v>
      </x:c>
      <x:c r="B144" s="48" t="b">
        <x:f>IF(A144="","",COUNTIF($D$6:$D$435,A144)&gt;0)</x:f>
        <x:v>0</x:v>
      </x:c>
      <x:c r="C144" s="48" t="str">
        <x:f>IF(B144=TRUE,A144,"")</x:f>
      </x:c>
      <x:c r="D144" s="48" t="str">
        <x:v>FABP2</x:v>
      </x:c>
      <x:c r="E144" s="48" t="str"/>
      <x:c r="F144" s="48" t="str"/>
      <x:c r="G144" s="48" t="str"/>
      <x:c r="H144" s="2"/>
      <x:c r="I144" s="2"/>
      <x:c r="J144" s="2"/>
    </x:row>
    <x:row r="145" ht="22" customHeight="1">
      <x:c r="A145" s="48" t="str">
        <x:v>SIRT1</x:v>
      </x:c>
      <x:c r="B145" s="48" t="b">
        <x:f>IF(A145="","",COUNTIF($D$6:$D$435,A145)&gt;0)</x:f>
        <x:v>1</x:v>
      </x:c>
      <x:c r="C145" s="48" t="str">
        <x:f>IF(B145=TRUE,A145,"")</x:f>
        <x:v>SIRT1</x:v>
      </x:c>
      <x:c r="D145" s="48" t="str">
        <x:v>FABP3</x:v>
      </x:c>
      <x:c r="E145" s="48" t="str"/>
      <x:c r="F145" s="48" t="str"/>
      <x:c r="G145" s="48" t="str"/>
      <x:c r="H145" s="2"/>
      <x:c r="I145" s="2"/>
      <x:c r="J145" s="2"/>
    </x:row>
    <x:row r="146" ht="22" customHeight="1">
      <x:c r="A146" s="48" t="str">
        <x:v>SIRT6</x:v>
      </x:c>
      <x:c r="B146" s="48" t="b">
        <x:f>IF(A146="","",COUNTIF($D$6:$D$435,A146)&gt;0)</x:f>
        <x:v>1</x:v>
      </x:c>
      <x:c r="C146" s="48" t="str">
        <x:f>IF(B146=TRUE,A146,"")</x:f>
        <x:v>SIRT6</x:v>
      </x:c>
      <x:c r="D146" s="48" t="str">
        <x:v>FABP4</x:v>
      </x:c>
      <x:c r="E146" s="48" t="str"/>
      <x:c r="F146" s="48" t="str"/>
      <x:c r="G146" s="48" t="str"/>
      <x:c r="H146" s="2"/>
      <x:c r="I146" s="2"/>
      <x:c r="J146" s="2"/>
    </x:row>
    <x:row r="147" ht="22" customHeight="1">
      <x:c r="A147" s="48" t="str">
        <x:v>SLC16A1</x:v>
      </x:c>
      <x:c r="B147" s="48" t="b">
        <x:f>IF(A147="","",COUNTIF($D$6:$D$435,A147)&gt;0)</x:f>
        <x:v>0</x:v>
      </x:c>
      <x:c r="C147" s="48" t="str">
        <x:f>IF(B147=TRUE,A147,"")</x:f>
      </x:c>
      <x:c r="D147" s="48" t="str">
        <x:v>FAP</x:v>
      </x:c>
      <x:c r="E147" s="48" t="str"/>
      <x:c r="F147" s="48" t="str"/>
      <x:c r="G147" s="48" t="str"/>
      <x:c r="H147" s="2"/>
      <x:c r="I147" s="2"/>
      <x:c r="J147" s="2"/>
    </x:row>
    <x:row r="148" ht="22" customHeight="1">
      <x:c r="A148" s="48" t="str">
        <x:v>SLC22A1</x:v>
      </x:c>
      <x:c r="B148" s="48" t="b">
        <x:f>IF(A148="","",COUNTIF($D$6:$D$435,A148)&gt;0)</x:f>
        <x:v>0</x:v>
      </x:c>
      <x:c r="C148" s="48" t="str">
        <x:f>IF(B148=TRUE,A148,"")</x:f>
      </x:c>
      <x:c r="D148" s="48" t="str">
        <x:v>FAS</x:v>
      </x:c>
      <x:c r="E148" s="48" t="str"/>
      <x:c r="F148" s="48" t="str"/>
      <x:c r="G148" s="48" t="str"/>
      <x:c r="H148" s="2"/>
      <x:c r="I148" s="2"/>
      <x:c r="J148" s="2"/>
    </x:row>
    <x:row r="149" ht="22" customHeight="1">
      <x:c r="A149" s="48" t="str">
        <x:v>SLC22A12</x:v>
      </x:c>
      <x:c r="B149" s="48" t="b">
        <x:f>IF(A149="","",COUNTIF($D$6:$D$435,A149)&gt;0)</x:f>
        <x:v>0</x:v>
      </x:c>
      <x:c r="C149" s="48" t="str">
        <x:f>IF(B149=TRUE,A149,"")</x:f>
      </x:c>
      <x:c r="D149" s="48" t="str">
        <x:v>FBF1</x:v>
      </x:c>
      <x:c r="E149" s="48" t="str"/>
      <x:c r="F149" s="48" t="str"/>
      <x:c r="G149" s="48" t="str"/>
      <x:c r="H149" s="2"/>
      <x:c r="I149" s="2"/>
      <x:c r="J149" s="2"/>
    </x:row>
    <x:row r="150" ht="22" customHeight="1">
      <x:c r="A150" s="48" t="str">
        <x:v>SLC22A2</x:v>
      </x:c>
      <x:c r="B150" s="48" t="b">
        <x:f>IF(A150="","",COUNTIF($D$6:$D$435,A150)&gt;0)</x:f>
        <x:v>0</x:v>
      </x:c>
      <x:c r="C150" s="48" t="str">
        <x:f>IF(B150=TRUE,A150,"")</x:f>
      </x:c>
      <x:c r="D150" s="48" t="str">
        <x:v>FBN1</x:v>
      </x:c>
      <x:c r="E150" s="48" t="str"/>
      <x:c r="F150" s="48" t="str"/>
      <x:c r="G150" s="48" t="str"/>
      <x:c r="H150" s="2"/>
      <x:c r="I150" s="2"/>
      <x:c r="J150" s="2"/>
    </x:row>
    <x:row r="151" ht="22" customHeight="1">
      <x:c r="A151" s="48" t="str">
        <x:v>SLC47A2</x:v>
      </x:c>
      <x:c r="B151" s="48" t="b">
        <x:f>IF(A151="","",COUNTIF($D$6:$D$435,A151)&gt;0)</x:f>
        <x:v>0</x:v>
      </x:c>
      <x:c r="C151" s="48" t="str">
        <x:f>IF(B151=TRUE,A151,"")</x:f>
      </x:c>
      <x:c r="D151" s="48" t="str">
        <x:v>FCAR</x:v>
      </x:c>
      <x:c r="E151" s="48" t="str"/>
      <x:c r="F151" s="48" t="str"/>
      <x:c r="G151" s="48" t="str"/>
      <x:c r="H151" s="2"/>
      <x:c r="I151" s="2"/>
      <x:c r="J151" s="2"/>
    </x:row>
    <x:row r="152" ht="22" customHeight="1">
      <x:c r="A152" s="48" t="str">
        <x:v>SLC5A2</x:v>
      </x:c>
      <x:c r="B152" s="48" t="b">
        <x:f>IF(A152="","",COUNTIF($D$6:$D$435,A152)&gt;0)</x:f>
        <x:v>1</x:v>
      </x:c>
      <x:c r="C152" s="48" t="str">
        <x:f>IF(B152=TRUE,A152,"")</x:f>
        <x:v>SLC5A2</x:v>
      </x:c>
      <x:c r="D152" s="48" t="str">
        <x:v>FCN3</x:v>
      </x:c>
      <x:c r="E152" s="48" t="str"/>
      <x:c r="F152" s="48" t="str"/>
      <x:c r="G152" s="48" t="str"/>
      <x:c r="H152" s="2"/>
      <x:c r="I152" s="2"/>
      <x:c r="J152" s="2"/>
    </x:row>
    <x:row r="153" ht="22" customHeight="1">
      <x:c r="A153" s="48" t="str">
        <x:v>SLCO1B1</x:v>
      </x:c>
      <x:c r="B153" s="48" t="b">
        <x:f>IF(A153="","",COUNTIF($D$6:$D$435,A153)&gt;0)</x:f>
        <x:v>1</x:v>
      </x:c>
      <x:c r="C153" s="48" t="str">
        <x:f>IF(B153=TRUE,A153,"")</x:f>
        <x:v>SLCO1B1</x:v>
      </x:c>
      <x:c r="D153" s="48" t="str">
        <x:v>FGA</x:v>
      </x:c>
      <x:c r="E153" s="48" t="str"/>
      <x:c r="F153" s="48" t="str"/>
      <x:c r="G153" s="48" t="str"/>
      <x:c r="H153" s="2"/>
      <x:c r="I153" s="2"/>
      <x:c r="J153" s="2"/>
    </x:row>
    <x:row r="154" ht="22" customHeight="1">
      <x:c r="A154" s="48" t="str">
        <x:v>SLCO1B3</x:v>
      </x:c>
      <x:c r="B154" s="48" t="b">
        <x:f>IF(A154="","",COUNTIF($D$6:$D$435,A154)&gt;0)</x:f>
        <x:v>0</x:v>
      </x:c>
      <x:c r="C154" s="48" t="str">
        <x:f>IF(B154=TRUE,A154,"")</x:f>
      </x:c>
      <x:c r="D154" s="48" t="str">
        <x:v>FGF19</x:v>
      </x:c>
      <x:c r="E154" s="48" t="str"/>
      <x:c r="F154" s="48" t="str"/>
      <x:c r="G154" s="48" t="str"/>
      <x:c r="H154" s="2"/>
      <x:c r="I154" s="2"/>
      <x:c r="J154" s="2"/>
    </x:row>
    <x:row r="155" ht="22" customHeight="1">
      <x:c r="A155" s="48" t="str">
        <x:v>SMARCA2</x:v>
      </x:c>
      <x:c r="B155" s="48" t="b">
        <x:f>IF(A155="","",COUNTIF($D$6:$D$435,A155)&gt;0)</x:f>
        <x:v>0</x:v>
      </x:c>
      <x:c r="C155" s="48" t="str">
        <x:f>IF(B155=TRUE,A155,"")</x:f>
      </x:c>
      <x:c r="D155" s="48" t="str">
        <x:v>FGF2</x:v>
      </x:c>
      <x:c r="E155" s="48" t="str"/>
      <x:c r="F155" s="48" t="str"/>
      <x:c r="G155" s="48" t="str"/>
      <x:c r="H155" s="2"/>
      <x:c r="I155" s="2"/>
      <x:c r="J155" s="2"/>
    </x:row>
    <x:row r="156" ht="22" customHeight="1">
      <x:c r="A156" s="48" t="str">
        <x:v>SMN1</x:v>
      </x:c>
      <x:c r="B156" s="48" t="b">
        <x:f>IF(A156="","",COUNTIF($D$6:$D$435,A156)&gt;0)</x:f>
        <x:v>0</x:v>
      </x:c>
      <x:c r="C156" s="48" t="str">
        <x:f>IF(B156=TRUE,A156,"")</x:f>
      </x:c>
      <x:c r="D156" s="48" t="str">
        <x:v>FN1</x:v>
      </x:c>
      <x:c r="E156" s="48" t="str"/>
      <x:c r="F156" s="48" t="str"/>
      <x:c r="G156" s="48" t="str"/>
      <x:c r="H156" s="2"/>
      <x:c r="I156" s="2"/>
      <x:c r="J156" s="2"/>
    </x:row>
    <x:row r="157" ht="22" customHeight="1">
      <x:c r="A157" s="48" t="str">
        <x:v>SMN2</x:v>
      </x:c>
      <x:c r="B157" s="48" t="b">
        <x:f>IF(A157="","",COUNTIF($D$6:$D$435,A157)&gt;0)</x:f>
        <x:v>0</x:v>
      </x:c>
      <x:c r="C157" s="48" t="str">
        <x:f>IF(B157=TRUE,A157,"")</x:f>
      </x:c>
      <x:c r="D157" s="48" t="str">
        <x:v>FOXE3</x:v>
      </x:c>
      <x:c r="E157" s="48" t="str"/>
      <x:c r="F157" s="48" t="str"/>
      <x:c r="G157" s="48" t="str"/>
      <x:c r="H157" s="2"/>
      <x:c r="I157" s="2"/>
      <x:c r="J157" s="2"/>
    </x:row>
    <x:row r="158" ht="22" customHeight="1">
      <x:c r="A158" s="48" t="str">
        <x:v>SMPD1</x:v>
      </x:c>
      <x:c r="B158" s="48" t="b">
        <x:f>IF(A158="","",COUNTIF($D$6:$D$435,A158)&gt;0)</x:f>
        <x:v>0</x:v>
      </x:c>
      <x:c r="C158" s="48" t="str">
        <x:f>IF(B158=TRUE,A158,"")</x:f>
      </x:c>
      <x:c r="D158" s="48" t="str">
        <x:v>FOXJ2</x:v>
      </x:c>
      <x:c r="E158" s="48" t="str"/>
      <x:c r="F158" s="48" t="str"/>
      <x:c r="G158" s="48" t="str"/>
      <x:c r="H158" s="2"/>
      <x:c r="I158" s="2"/>
      <x:c r="J158" s="2"/>
    </x:row>
    <x:row r="159" ht="22" customHeight="1">
      <x:c r="A159" s="48" t="str">
        <x:v>SOAT1</x:v>
      </x:c>
      <x:c r="B159" s="48" t="b">
        <x:f>IF(A159="","",COUNTIF($D$6:$D$435,A159)&gt;0)</x:f>
        <x:v>0</x:v>
      </x:c>
      <x:c r="C159" s="48" t="str">
        <x:f>IF(B159=TRUE,A159,"")</x:f>
      </x:c>
      <x:c r="D159" s="48" t="str">
        <x:v>FOXO3</x:v>
      </x:c>
      <x:c r="E159" s="48" t="str"/>
      <x:c r="F159" s="48" t="str"/>
      <x:c r="G159" s="48" t="str"/>
      <x:c r="H159" s="2"/>
      <x:c r="I159" s="2"/>
      <x:c r="J159" s="2"/>
    </x:row>
    <x:row r="160" ht="22" customHeight="1">
      <x:c r="A160" s="48" t="str">
        <x:v>SOAT2</x:v>
      </x:c>
      <x:c r="B160" s="48" t="b">
        <x:f>IF(A160="","",COUNTIF($D$6:$D$435,A160)&gt;0)</x:f>
        <x:v>0</x:v>
      </x:c>
      <x:c r="C160" s="48" t="str">
        <x:f>IF(B160=TRUE,A160,"")</x:f>
      </x:c>
      <x:c r="D160" s="48" t="str">
        <x:v>FOXO4</x:v>
      </x:c>
      <x:c r="E160" s="48" t="str"/>
      <x:c r="F160" s="48" t="str"/>
      <x:c r="G160" s="48" t="str"/>
      <x:c r="H160" s="2"/>
      <x:c r="I160" s="2"/>
      <x:c r="J160" s="2"/>
    </x:row>
    <x:row r="161" ht="22" customHeight="1">
      <x:c r="A161" s="48" t="str">
        <x:v>SRC</x:v>
      </x:c>
      <x:c r="B161" s="48" t="b">
        <x:f>IF(A161="","",COUNTIF($D$6:$D$435,A161)&gt;0)</x:f>
        <x:v>1</x:v>
      </x:c>
      <x:c r="C161" s="48" t="str">
        <x:f>IF(B161=TRUE,A161,"")</x:f>
        <x:v>SRC</x:v>
      </x:c>
      <x:c r="D161" s="48" t="str">
        <x:v>FPR2</x:v>
      </x:c>
      <x:c r="E161" s="48" t="str"/>
      <x:c r="F161" s="48" t="str"/>
      <x:c r="G161" s="48" t="str"/>
      <x:c r="H161" s="2"/>
      <x:c r="I161" s="2"/>
      <x:c r="J161" s="2"/>
    </x:row>
    <x:row r="162" ht="22" customHeight="1">
      <x:c r="A162" s="48" t="str">
        <x:v>STING1</x:v>
      </x:c>
      <x:c r="B162" s="48" t="b">
        <x:f>IF(A162="","",COUNTIF($D$6:$D$435,A162)&gt;0)</x:f>
        <x:v>0</x:v>
      </x:c>
      <x:c r="C162" s="48" t="str">
        <x:f>IF(B162=TRUE,A162,"")</x:f>
      </x:c>
      <x:c r="D162" s="48" t="str">
        <x:v>FTH1</x:v>
      </x:c>
      <x:c r="E162" s="48" t="str"/>
      <x:c r="F162" s="48" t="str"/>
      <x:c r="G162" s="48" t="str"/>
      <x:c r="H162" s="2"/>
      <x:c r="I162" s="2"/>
      <x:c r="J162" s="2"/>
    </x:row>
    <x:row r="163" ht="22" customHeight="1">
      <x:c r="A163" s="48" t="str">
        <x:v>STK25</x:v>
      </x:c>
      <x:c r="B163" s="48" t="b">
        <x:f>IF(A163="","",COUNTIF($D$6:$D$435,A163)&gt;0)</x:f>
        <x:v>0</x:v>
      </x:c>
      <x:c r="C163" s="48" t="str">
        <x:f>IF(B163=TRUE,A163,"")</x:f>
      </x:c>
      <x:c r="D163" s="48" t="str">
        <x:v>FTO</x:v>
      </x:c>
      <x:c r="E163" s="48" t="str"/>
      <x:c r="F163" s="48" t="str"/>
      <x:c r="G163" s="48" t="str"/>
      <x:c r="H163" s="2"/>
      <x:c r="I163" s="2"/>
      <x:c r="J163" s="2"/>
    </x:row>
    <x:row r="164" ht="22" customHeight="1">
      <x:c r="A164" s="48" t="str">
        <x:v>STS</x:v>
      </x:c>
      <x:c r="B164" s="48" t="b">
        <x:f>IF(A164="","",COUNTIF($D$6:$D$435,A164)&gt;0)</x:f>
        <x:v>0</x:v>
      </x:c>
      <x:c r="C164" s="48" t="str">
        <x:f>IF(B164=TRUE,A164,"")</x:f>
      </x:c>
      <x:c r="D164" s="48" t="str">
        <x:v>FUNDC1</x:v>
      </x:c>
      <x:c r="E164" s="48" t="str"/>
      <x:c r="F164" s="48" t="str"/>
      <x:c r="G164" s="48" t="str"/>
      <x:c r="H164" s="2"/>
      <x:c r="I164" s="2"/>
      <x:c r="J164" s="2"/>
    </x:row>
    <x:row r="165" ht="22" customHeight="1">
      <x:c r="A165" s="48" t="str">
        <x:v>TAB1</x:v>
      </x:c>
      <x:c r="B165" s="48" t="b">
        <x:f>IF(A165="","",COUNTIF($D$6:$D$435,A165)&gt;0)</x:f>
        <x:v>0</x:v>
      </x:c>
      <x:c r="C165" s="48" t="str">
        <x:f>IF(B165=TRUE,A165,"")</x:f>
      </x:c>
      <x:c r="D165" s="48" t="str">
        <x:v>G6PD</x:v>
      </x:c>
      <x:c r="E165" s="48" t="str"/>
      <x:c r="F165" s="48" t="str"/>
      <x:c r="G165" s="48" t="str"/>
      <x:c r="H165" s="2"/>
      <x:c r="I165" s="2"/>
      <x:c r="J165" s="2"/>
    </x:row>
    <x:row r="166" ht="22" customHeight="1">
      <x:c r="A166" s="48" t="str">
        <x:v>TBXAS1</x:v>
      </x:c>
      <x:c r="B166" s="48" t="b">
        <x:f>IF(A166="","",COUNTIF($D$6:$D$435,A166)&gt;0)</x:f>
        <x:v>0</x:v>
      </x:c>
      <x:c r="C166" s="48" t="str">
        <x:f>IF(B166=TRUE,A166,"")</x:f>
      </x:c>
      <x:c r="D166" s="48" t="str">
        <x:v>GAPDH</x:v>
      </x:c>
      <x:c r="E166" s="48" t="str"/>
      <x:c r="F166" s="48" t="str"/>
      <x:c r="G166" s="48" t="str"/>
      <x:c r="H166" s="2"/>
      <x:c r="I166" s="2"/>
      <x:c r="J166" s="2"/>
    </x:row>
    <x:row r="167" ht="22" customHeight="1">
      <x:c r="A167" s="48" t="str">
        <x:v>TDP1</x:v>
      </x:c>
      <x:c r="B167" s="48" t="b">
        <x:f>IF(A167="","",COUNTIF($D$6:$D$435,A167)&gt;0)</x:f>
        <x:v>0</x:v>
      </x:c>
      <x:c r="C167" s="48" t="str">
        <x:f>IF(B167=TRUE,A167,"")</x:f>
      </x:c>
      <x:c r="D167" s="48" t="str">
        <x:v>GAS6</x:v>
      </x:c>
      <x:c r="E167" s="48" t="str"/>
      <x:c r="F167" s="48" t="str"/>
      <x:c r="G167" s="48" t="str"/>
      <x:c r="H167" s="2"/>
      <x:c r="I167" s="2"/>
      <x:c r="J167" s="2"/>
    </x:row>
    <x:row r="168" ht="22" customHeight="1">
      <x:c r="A168" s="48" t="str">
        <x:v>THRB</x:v>
      </x:c>
      <x:c r="B168" s="48" t="b">
        <x:f>IF(A168="","",COUNTIF($D$6:$D$435,A168)&gt;0)</x:f>
        <x:v>0</x:v>
      </x:c>
      <x:c r="C168" s="48" t="str">
        <x:f>IF(B168=TRUE,A168,"")</x:f>
      </x:c>
      <x:c r="D168" s="48" t="str">
        <x:v>GATA2</x:v>
      </x:c>
      <x:c r="E168" s="48" t="str"/>
      <x:c r="F168" s="48" t="str"/>
      <x:c r="G168" s="48" t="str"/>
      <x:c r="H168" s="2"/>
      <x:c r="I168" s="2"/>
      <x:c r="J168" s="2"/>
    </x:row>
    <x:row r="169" ht="22" customHeight="1">
      <x:c r="A169" s="48" t="str">
        <x:v>TNF</x:v>
      </x:c>
      <x:c r="B169" s="48" t="b">
        <x:f>IF(A169="","",COUNTIF($D$6:$D$435,A169)&gt;0)</x:f>
        <x:v>1</x:v>
      </x:c>
      <x:c r="C169" s="48" t="str">
        <x:f>IF(B169=TRUE,A169,"")</x:f>
        <x:v>TNF</x:v>
      </x:c>
      <x:c r="D169" s="48" t="str">
        <x:v>GCFC2</x:v>
      </x:c>
      <x:c r="E169" s="48" t="str"/>
      <x:c r="F169" s="48" t="str"/>
      <x:c r="G169" s="48" t="str"/>
      <x:c r="H169" s="2"/>
      <x:c r="I169" s="2"/>
      <x:c r="J169" s="2"/>
    </x:row>
    <x:row r="170" ht="22" customHeight="1">
      <x:c r="A170" s="48" t="str">
        <x:v>TOP1</x:v>
      </x:c>
      <x:c r="B170" s="48" t="b">
        <x:f>IF(A170="","",COUNTIF($D$6:$D$435,A170)&gt;0)</x:f>
        <x:v>0</x:v>
      </x:c>
      <x:c r="C170" s="48" t="str">
        <x:f>IF(B170=TRUE,A170,"")</x:f>
      </x:c>
      <x:c r="D170" s="48" t="str">
        <x:v>GCG</x:v>
      </x:c>
      <x:c r="E170" s="48" t="str"/>
      <x:c r="F170" s="48" t="str"/>
      <x:c r="G170" s="48" t="str"/>
      <x:c r="H170" s="2"/>
      <x:c r="I170" s="2"/>
      <x:c r="J170" s="2"/>
    </x:row>
    <x:row r="171" ht="22" customHeight="1">
      <x:c r="A171" s="48" t="str">
        <x:v>TOP2A</x:v>
      </x:c>
      <x:c r="B171" s="48" t="b">
        <x:f>IF(A171="","",COUNTIF($D$6:$D$435,A171)&gt;0)</x:f>
        <x:v>0</x:v>
      </x:c>
      <x:c r="C171" s="48" t="str">
        <x:f>IF(B171=TRUE,A171,"")</x:f>
      </x:c>
      <x:c r="D171" s="48" t="str">
        <x:v>GDF15</x:v>
      </x:c>
      <x:c r="E171" s="48" t="str"/>
      <x:c r="F171" s="48" t="str"/>
      <x:c r="G171" s="48" t="str"/>
      <x:c r="H171" s="2"/>
      <x:c r="I171" s="2"/>
      <x:c r="J171" s="2"/>
    </x:row>
    <x:row r="172" ht="22" customHeight="1">
      <x:c r="A172" s="48" t="str">
        <x:v>TOP2B</x:v>
      </x:c>
      <x:c r="B172" s="48" t="b">
        <x:f>IF(A172="","",COUNTIF($D$6:$D$435,A172)&gt;0)</x:f>
        <x:v>0</x:v>
      </x:c>
      <x:c r="C172" s="48" t="str">
        <x:f>IF(B172=TRUE,A172,"")</x:f>
      </x:c>
      <x:c r="D172" s="48" t="str">
        <x:v>GDNF</x:v>
      </x:c>
      <x:c r="E172" s="48" t="str"/>
      <x:c r="F172" s="48" t="str"/>
      <x:c r="G172" s="48" t="str"/>
      <x:c r="H172" s="2"/>
      <x:c r="I172" s="2"/>
      <x:c r="J172" s="2"/>
    </x:row>
    <x:row r="173" ht="22" customHeight="1">
      <x:c r="A173" s="48" t="str">
        <x:v>TRIM24</x:v>
      </x:c>
      <x:c r="B173" s="48" t="b">
        <x:f>IF(A173="","",COUNTIF($D$6:$D$435,A173)&gt;0)</x:f>
        <x:v>0</x:v>
      </x:c>
      <x:c r="C173" s="48" t="str">
        <x:f>IF(B173=TRUE,A173,"")</x:f>
      </x:c>
      <x:c r="D173" s="48" t="str">
        <x:v>GFAP</x:v>
      </x:c>
      <x:c r="E173" s="48" t="str"/>
      <x:c r="F173" s="48" t="str"/>
      <x:c r="G173" s="48" t="str"/>
      <x:c r="H173" s="2"/>
      <x:c r="I173" s="2"/>
      <x:c r="J173" s="2"/>
    </x:row>
    <x:row r="174" ht="22" customHeight="1">
      <x:c r="A174" s="48" t="str">
        <x:v>TSHR</x:v>
      </x:c>
      <x:c r="B174" s="48" t="b">
        <x:f>IF(A174="","",COUNTIF($D$6:$D$435,A174)&gt;0)</x:f>
        <x:v>0</x:v>
      </x:c>
      <x:c r="C174" s="48" t="str">
        <x:f>IF(B174=TRUE,A174,"")</x:f>
      </x:c>
      <x:c r="D174" s="48" t="str">
        <x:v>GGCX</x:v>
      </x:c>
      <x:c r="E174" s="48" t="str"/>
      <x:c r="F174" s="48" t="str"/>
      <x:c r="G174" s="48" t="str"/>
      <x:c r="H174" s="2"/>
      <x:c r="I174" s="2"/>
      <x:c r="J174" s="2"/>
    </x:row>
    <x:row r="175" ht="22" customHeight="1">
      <x:c r="A175" s="48" t="str">
        <x:v>TYR</x:v>
      </x:c>
      <x:c r="B175" s="48" t="b">
        <x:f>IF(A175="","",COUNTIF($D$6:$D$435,A175)&gt;0)</x:f>
        <x:v>0</x:v>
      </x:c>
      <x:c r="C175" s="48" t="str">
        <x:f>IF(B175=TRUE,A175,"")</x:f>
      </x:c>
      <x:c r="D175" s="48" t="str">
        <x:v>GLA</x:v>
      </x:c>
      <x:c r="E175" s="48" t="str"/>
      <x:c r="F175" s="48" t="str"/>
      <x:c r="G175" s="48" t="str"/>
      <x:c r="H175" s="2"/>
      <x:c r="I175" s="2"/>
      <x:c r="J175" s="2"/>
    </x:row>
    <x:row r="176" ht="22" customHeight="1">
      <x:c r="A176" s="48" t="str">
        <x:v>VDR</x:v>
      </x:c>
      <x:c r="B176" s="48" t="b">
        <x:f>IF(A176="","",COUNTIF($D$6:$D$435,A176)&gt;0)</x:f>
        <x:v>0</x:v>
      </x:c>
      <x:c r="C176" s="48" t="str">
        <x:f>IF(B176=TRUE,A176,"")</x:f>
      </x:c>
      <x:c r="D176" s="48" t="str">
        <x:v>GLI1</x:v>
      </x:c>
      <x:c r="E176" s="48" t="str"/>
      <x:c r="F176" s="48" t="str"/>
      <x:c r="G176" s="48" t="str"/>
      <x:c r="H176" s="2"/>
      <x:c r="I176" s="2"/>
      <x:c r="J176" s="2"/>
    </x:row>
    <x:row r="177" ht="22" customHeight="1">
      <x:c r="A177" s="48" t="str"/>
      <x:c r="B177" s="48" t="str"/>
      <x:c r="C177" s="48" t="str"/>
      <x:c r="D177" s="48" t="str">
        <x:v>GNAQ</x:v>
      </x:c>
      <x:c r="E177" s="48" t="str"/>
      <x:c r="F177" s="48" t="str"/>
      <x:c r="G177" s="48" t="str"/>
      <x:c r="H177" s="2"/>
      <x:c r="I177" s="2"/>
      <x:c r="J177" s="2"/>
    </x:row>
    <x:row r="178" ht="22" customHeight="1">
      <x:c r="A178" s="48" t="str"/>
      <x:c r="B178" s="48" t="str"/>
      <x:c r="C178" s="48" t="str"/>
      <x:c r="D178" s="48" t="str">
        <x:v>GNB2</x:v>
      </x:c>
      <x:c r="E178" s="48" t="str"/>
      <x:c r="F178" s="48" t="str"/>
      <x:c r="G178" s="48" t="str"/>
      <x:c r="H178" s="2"/>
      <x:c r="I178" s="2"/>
      <x:c r="J178" s="2"/>
    </x:row>
    <x:row r="179" ht="22" customHeight="1">
      <x:c r="A179" s="48" t="str"/>
      <x:c r="B179" s="48" t="str"/>
      <x:c r="C179" s="48" t="str"/>
      <x:c r="D179" s="48" t="str">
        <x:v>GP1BA</x:v>
      </x:c>
      <x:c r="E179" s="48" t="str"/>
      <x:c r="F179" s="48" t="str"/>
      <x:c r="G179" s="48" t="str"/>
      <x:c r="H179" s="2"/>
      <x:c r="I179" s="2"/>
      <x:c r="J179" s="2"/>
    </x:row>
    <x:row r="180" ht="22" customHeight="1">
      <x:c r="A180" s="48" t="str"/>
      <x:c r="B180" s="48" t="str"/>
      <x:c r="C180" s="48" t="str"/>
      <x:c r="D180" s="48" t="str">
        <x:v>GP6</x:v>
      </x:c>
      <x:c r="E180" s="48" t="str"/>
      <x:c r="F180" s="48" t="str"/>
      <x:c r="G180" s="48" t="str"/>
      <x:c r="H180" s="2"/>
      <x:c r="I180" s="2"/>
      <x:c r="J180" s="2"/>
    </x:row>
    <x:row r="181" ht="22" customHeight="1">
      <x:c r="A181" s="48" t="str"/>
      <x:c r="B181" s="48" t="str"/>
      <x:c r="C181" s="48" t="str"/>
      <x:c r="D181" s="48" t="str">
        <x:v>GPI</x:v>
      </x:c>
      <x:c r="E181" s="48" t="str"/>
      <x:c r="F181" s="48" t="str"/>
      <x:c r="G181" s="48" t="str"/>
      <x:c r="H181" s="2"/>
      <x:c r="I181" s="2"/>
      <x:c r="J181" s="2"/>
    </x:row>
    <x:row r="182" ht="22" customHeight="1">
      <x:c r="A182" s="48" t="str"/>
      <x:c r="B182" s="48" t="str"/>
      <x:c r="C182" s="48" t="str"/>
      <x:c r="D182" s="48" t="str">
        <x:v>GPM6A</x:v>
      </x:c>
      <x:c r="E182" s="48" t="str"/>
      <x:c r="F182" s="48" t="str"/>
      <x:c r="G182" s="48" t="str"/>
      <x:c r="H182" s="2"/>
      <x:c r="I182" s="2"/>
      <x:c r="J182" s="2"/>
    </x:row>
    <x:row r="183" ht="22" customHeight="1">
      <x:c r="A183" s="48" t="str"/>
      <x:c r="B183" s="48" t="str"/>
      <x:c r="C183" s="48" t="str"/>
      <x:c r="D183" s="48" t="str">
        <x:v>GRIA1</x:v>
      </x:c>
      <x:c r="E183" s="48" t="str"/>
      <x:c r="F183" s="48" t="str"/>
      <x:c r="G183" s="48" t="str"/>
      <x:c r="H183" s="2"/>
      <x:c r="I183" s="2"/>
      <x:c r="J183" s="2"/>
    </x:row>
    <x:row r="184" ht="22" customHeight="1">
      <x:c r="A184" s="48" t="str"/>
      <x:c r="B184" s="48" t="str"/>
      <x:c r="C184" s="48" t="str"/>
      <x:c r="D184" s="48" t="str">
        <x:v>GRIN1</x:v>
      </x:c>
      <x:c r="E184" s="48" t="str"/>
      <x:c r="F184" s="48" t="str"/>
      <x:c r="G184" s="48" t="str"/>
      <x:c r="H184" s="2"/>
      <x:c r="I184" s="2"/>
      <x:c r="J184" s="2"/>
    </x:row>
    <x:row r="185" ht="22" customHeight="1">
      <x:c r="A185" s="48" t="str"/>
      <x:c r="B185" s="48" t="str"/>
      <x:c r="C185" s="48" t="str"/>
      <x:c r="D185" s="48" t="str">
        <x:v>GSDMD</x:v>
      </x:c>
      <x:c r="E185" s="48" t="str"/>
      <x:c r="F185" s="48" t="str"/>
      <x:c r="G185" s="48" t="str"/>
      <x:c r="H185" s="2"/>
      <x:c r="I185" s="2"/>
      <x:c r="J185" s="2"/>
    </x:row>
    <x:row r="186" ht="22" customHeight="1">
      <x:c r="A186" s="48" t="str"/>
      <x:c r="B186" s="48" t="str"/>
      <x:c r="C186" s="48" t="str"/>
      <x:c r="D186" s="48" t="str">
        <x:v>GSK3B</x:v>
      </x:c>
      <x:c r="E186" s="48" t="str"/>
      <x:c r="F186" s="48" t="str"/>
      <x:c r="G186" s="48" t="str"/>
      <x:c r="H186" s="2"/>
      <x:c r="I186" s="2"/>
      <x:c r="J186" s="2"/>
    </x:row>
    <x:row r="187" ht="22" customHeight="1">
      <x:c r="A187" s="48" t="str"/>
      <x:c r="B187" s="48" t="str"/>
      <x:c r="C187" s="48" t="str"/>
      <x:c r="D187" s="48" t="str">
        <x:v>GUCY1A1</x:v>
      </x:c>
      <x:c r="E187" s="48" t="str"/>
      <x:c r="F187" s="48" t="str"/>
      <x:c r="G187" s="48" t="str"/>
      <x:c r="H187" s="2"/>
      <x:c r="I187" s="2"/>
      <x:c r="J187" s="2"/>
    </x:row>
    <x:row r="188" ht="22" customHeight="1">
      <x:c r="A188" s="48" t="str"/>
      <x:c r="B188" s="48" t="str"/>
      <x:c r="C188" s="48" t="str"/>
      <x:c r="D188" s="48" t="str">
        <x:v>HABP2</x:v>
      </x:c>
      <x:c r="E188" s="48" t="str"/>
      <x:c r="F188" s="48" t="str"/>
      <x:c r="G188" s="48" t="str"/>
      <x:c r="H188" s="2"/>
      <x:c r="I188" s="2"/>
      <x:c r="J188" s="2"/>
    </x:row>
    <x:row r="189" ht="22" customHeight="1">
      <x:c r="A189" s="48" t="str"/>
      <x:c r="B189" s="48" t="str"/>
      <x:c r="C189" s="48" t="str"/>
      <x:c r="D189" s="48" t="str">
        <x:v>HAMP</x:v>
      </x:c>
      <x:c r="E189" s="48" t="str"/>
      <x:c r="F189" s="48" t="str"/>
      <x:c r="G189" s="48" t="str"/>
      <x:c r="H189" s="2"/>
      <x:c r="I189" s="2"/>
      <x:c r="J189" s="2"/>
    </x:row>
    <x:row r="190" ht="22" customHeight="1">
      <x:c r="A190" s="48" t="str"/>
      <x:c r="B190" s="48" t="str"/>
      <x:c r="C190" s="48" t="str"/>
      <x:c r="D190" s="48" t="str">
        <x:v>HBB</x:v>
      </x:c>
      <x:c r="E190" s="48" t="str"/>
      <x:c r="F190" s="48" t="str"/>
      <x:c r="G190" s="48" t="str"/>
      <x:c r="H190" s="2"/>
      <x:c r="I190" s="2"/>
      <x:c r="J190" s="2"/>
    </x:row>
    <x:row r="191" ht="22" customHeight="1">
      <x:c r="A191" s="48" t="str"/>
      <x:c r="B191" s="48" t="str"/>
      <x:c r="C191" s="48" t="str"/>
      <x:c r="D191" s="48" t="str">
        <x:v>HDAC2</x:v>
      </x:c>
      <x:c r="E191" s="48" t="str"/>
      <x:c r="F191" s="48" t="str"/>
      <x:c r="G191" s="48" t="str"/>
      <x:c r="H191" s="2"/>
      <x:c r="I191" s="2"/>
      <x:c r="J191" s="2"/>
    </x:row>
    <x:row r="192" ht="22" customHeight="1">
      <x:c r="A192" s="48" t="str"/>
      <x:c r="B192" s="48" t="str"/>
      <x:c r="C192" s="48" t="str"/>
      <x:c r="D192" s="48" t="str">
        <x:v>HDAC4</x:v>
      </x:c>
      <x:c r="E192" s="48" t="str"/>
      <x:c r="F192" s="48" t="str"/>
      <x:c r="G192" s="48" t="str"/>
      <x:c r="H192" s="2"/>
      <x:c r="I192" s="2"/>
      <x:c r="J192" s="2"/>
    </x:row>
    <x:row r="193" ht="22" customHeight="1">
      <x:c r="A193" s="48" t="str"/>
      <x:c r="B193" s="48" t="str"/>
      <x:c r="C193" s="48" t="str"/>
      <x:c r="D193" s="48" t="str">
        <x:v>HECTD1</x:v>
      </x:c>
      <x:c r="E193" s="48" t="str"/>
      <x:c r="F193" s="48" t="str"/>
      <x:c r="G193" s="48" t="str"/>
      <x:c r="H193" s="2"/>
      <x:c r="I193" s="2"/>
      <x:c r="J193" s="2"/>
    </x:row>
    <x:row r="194" ht="22" customHeight="1">
      <x:c r="A194" s="48" t="str"/>
      <x:c r="B194" s="48" t="str"/>
      <x:c r="C194" s="48" t="str"/>
      <x:c r="D194" s="48" t="str">
        <x:v>HEMK2</x:v>
      </x:c>
      <x:c r="E194" s="48" t="str"/>
      <x:c r="F194" s="48" t="str"/>
      <x:c r="G194" s="48" t="str"/>
      <x:c r="H194" s="2"/>
      <x:c r="I194" s="2"/>
      <x:c r="J194" s="2"/>
    </x:row>
    <x:row r="195" ht="22" customHeight="1">
      <x:c r="A195" s="48" t="str"/>
      <x:c r="B195" s="48" t="str"/>
      <x:c r="C195" s="48" t="str"/>
      <x:c r="D195" s="48" t="str">
        <x:v>HEY2</x:v>
      </x:c>
      <x:c r="E195" s="48" t="str"/>
      <x:c r="F195" s="48" t="str"/>
      <x:c r="G195" s="48" t="str"/>
      <x:c r="H195" s="2"/>
      <x:c r="I195" s="2"/>
      <x:c r="J195" s="2"/>
    </x:row>
    <x:row r="196" ht="22" customHeight="1">
      <x:c r="A196" s="48" t="str"/>
      <x:c r="B196" s="48" t="str"/>
      <x:c r="C196" s="48" t="str"/>
      <x:c r="D196" s="48" t="str">
        <x:v>HGF</x:v>
      </x:c>
      <x:c r="E196" s="48" t="str"/>
      <x:c r="F196" s="48" t="str"/>
      <x:c r="G196" s="48" t="str"/>
      <x:c r="H196" s="2"/>
      <x:c r="I196" s="2"/>
      <x:c r="J196" s="2"/>
    </x:row>
    <x:row r="197" ht="22" customHeight="1">
      <x:c r="A197" s="48" t="str"/>
      <x:c r="B197" s="48" t="str"/>
      <x:c r="C197" s="48" t="str"/>
      <x:c r="D197" s="48" t="str">
        <x:v>HIF1A</x:v>
      </x:c>
      <x:c r="E197" s="48" t="str"/>
      <x:c r="F197" s="48" t="str"/>
      <x:c r="G197" s="48" t="str"/>
      <x:c r="H197" s="2"/>
      <x:c r="I197" s="2"/>
      <x:c r="J197" s="2"/>
    </x:row>
    <x:row r="198" ht="22" customHeight="1">
      <x:c r="A198" s="48" t="str"/>
      <x:c r="B198" s="48" t="str"/>
      <x:c r="C198" s="48" t="str"/>
      <x:c r="D198" s="48" t="str">
        <x:v>HJV</x:v>
      </x:c>
      <x:c r="E198" s="48" t="str"/>
      <x:c r="F198" s="48" t="str"/>
      <x:c r="G198" s="48" t="str"/>
      <x:c r="H198" s="2"/>
      <x:c r="I198" s="2"/>
      <x:c r="J198" s="2"/>
    </x:row>
    <x:row r="199" ht="22" customHeight="1">
      <x:c r="A199" s="48" t="str"/>
      <x:c r="B199" s="48" t="str"/>
      <x:c r="C199" s="48" t="str"/>
      <x:c r="D199" s="48" t="str">
        <x:v>HMGB1</x:v>
      </x:c>
      <x:c r="E199" s="48" t="str"/>
      <x:c r="F199" s="48" t="str"/>
      <x:c r="G199" s="48" t="str"/>
      <x:c r="H199" s="2"/>
      <x:c r="I199" s="2"/>
      <x:c r="J199" s="2"/>
    </x:row>
    <x:row r="200" ht="22" customHeight="1">
      <x:c r="A200" s="48" t="str"/>
      <x:c r="B200" s="48" t="str"/>
      <x:c r="C200" s="48" t="str"/>
      <x:c r="D200" s="48" t="str">
        <x:v>HMOX1</x:v>
      </x:c>
      <x:c r="E200" s="48" t="str"/>
      <x:c r="F200" s="48" t="str"/>
      <x:c r="G200" s="48" t="str"/>
      <x:c r="H200" s="2"/>
      <x:c r="I200" s="2"/>
      <x:c r="J200" s="2"/>
    </x:row>
    <x:row r="201" ht="22" customHeight="1">
      <x:c r="A201" s="48" t="str"/>
      <x:c r="B201" s="48" t="str"/>
      <x:c r="C201" s="48" t="str"/>
      <x:c r="D201" s="48" t="str">
        <x:v>HOMER1</x:v>
      </x:c>
      <x:c r="E201" s="48" t="str"/>
      <x:c r="F201" s="48" t="str"/>
      <x:c r="G201" s="48" t="str"/>
      <x:c r="H201" s="2"/>
      <x:c r="I201" s="2"/>
      <x:c r="J201" s="2"/>
    </x:row>
    <x:row r="202" ht="22" customHeight="1">
      <x:c r="A202" s="48" t="str"/>
      <x:c r="B202" s="48" t="str"/>
      <x:c r="C202" s="48" t="str"/>
      <x:c r="D202" s="48" t="str">
        <x:v>HPRT1</x:v>
      </x:c>
      <x:c r="E202" s="48" t="str"/>
      <x:c r="F202" s="48" t="str"/>
      <x:c r="G202" s="48" t="str"/>
      <x:c r="H202" s="2"/>
      <x:c r="I202" s="2"/>
      <x:c r="J202" s="2"/>
    </x:row>
    <x:row r="203" ht="22" customHeight="1">
      <x:c r="A203" s="48" t="str"/>
      <x:c r="B203" s="48" t="str"/>
      <x:c r="C203" s="48" t="str"/>
      <x:c r="D203" s="48" t="str">
        <x:v>HPSE</x:v>
      </x:c>
      <x:c r="E203" s="48" t="str"/>
      <x:c r="F203" s="48" t="str"/>
      <x:c r="G203" s="48" t="str"/>
      <x:c r="H203" s="2"/>
      <x:c r="I203" s="2"/>
      <x:c r="J203" s="2"/>
    </x:row>
    <x:row r="204" ht="22" customHeight="1">
      <x:c r="A204" s="48" t="str"/>
      <x:c r="B204" s="48" t="str"/>
      <x:c r="C204" s="48" t="str"/>
      <x:c r="D204" s="48" t="str">
        <x:v>HR</x:v>
      </x:c>
      <x:c r="E204" s="48" t="str"/>
      <x:c r="F204" s="48" t="str"/>
      <x:c r="G204" s="48" t="str"/>
      <x:c r="H204" s="2"/>
      <x:c r="I204" s="2"/>
      <x:c r="J204" s="2"/>
    </x:row>
    <x:row r="205" ht="22" customHeight="1">
      <x:c r="A205" s="48" t="str"/>
      <x:c r="B205" s="48" t="str"/>
      <x:c r="C205" s="48" t="str"/>
      <x:c r="D205" s="48" t="str">
        <x:v>HSPD1</x:v>
      </x:c>
      <x:c r="E205" s="48" t="str"/>
      <x:c r="F205" s="48" t="str"/>
      <x:c r="G205" s="48" t="str"/>
      <x:c r="H205" s="2"/>
      <x:c r="I205" s="2"/>
      <x:c r="J205" s="2"/>
    </x:row>
    <x:row r="206" ht="22" customHeight="1">
      <x:c r="A206" s="48" t="str"/>
      <x:c r="B206" s="48" t="str"/>
      <x:c r="C206" s="48" t="str"/>
      <x:c r="D206" s="48" t="str">
        <x:v>HTRA1</x:v>
      </x:c>
      <x:c r="E206" s="48" t="str"/>
      <x:c r="F206" s="48" t="str"/>
      <x:c r="G206" s="48" t="str"/>
      <x:c r="H206" s="2"/>
      <x:c r="I206" s="2"/>
      <x:c r="J206" s="2"/>
    </x:row>
    <x:row r="207" ht="22" customHeight="1">
      <x:c r="A207" s="48" t="str"/>
      <x:c r="B207" s="48" t="str"/>
      <x:c r="C207" s="48" t="str"/>
      <x:c r="D207" s="48" t="str">
        <x:v>ICAM1</x:v>
      </x:c>
      <x:c r="E207" s="48" t="str"/>
      <x:c r="F207" s="48" t="str"/>
      <x:c r="G207" s="48" t="str"/>
      <x:c r="H207" s="2"/>
      <x:c r="I207" s="2"/>
      <x:c r="J207" s="2"/>
    </x:row>
    <x:row r="208" ht="22" customHeight="1">
      <x:c r="A208" s="48" t="str"/>
      <x:c r="B208" s="48" t="str"/>
      <x:c r="C208" s="48" t="str"/>
      <x:c r="D208" s="48" t="str">
        <x:v>ICAM3</x:v>
      </x:c>
      <x:c r="E208" s="48" t="str"/>
      <x:c r="F208" s="48" t="str"/>
      <x:c r="G208" s="48" t="str"/>
      <x:c r="H208" s="2"/>
      <x:c r="I208" s="2"/>
      <x:c r="J208" s="2"/>
    </x:row>
    <x:row r="209" ht="22" customHeight="1">
      <x:c r="A209" s="48" t="str"/>
      <x:c r="B209" s="48" t="str"/>
      <x:c r="C209" s="48" t="str"/>
      <x:c r="D209" s="48" t="str">
        <x:v>IFNG</x:v>
      </x:c>
      <x:c r="E209" s="48" t="str"/>
      <x:c r="F209" s="48" t="str"/>
      <x:c r="G209" s="48" t="str"/>
      <x:c r="H209" s="2"/>
      <x:c r="I209" s="2"/>
      <x:c r="J209" s="2"/>
    </x:row>
    <x:row r="210" ht="22" customHeight="1">
      <x:c r="A210" s="48" t="str"/>
      <x:c r="B210" s="48" t="str"/>
      <x:c r="C210" s="48" t="str"/>
      <x:c r="D210" s="48" t="str">
        <x:v>IGF1</x:v>
      </x:c>
      <x:c r="E210" s="48" t="str"/>
      <x:c r="F210" s="48" t="str"/>
      <x:c r="G210" s="48" t="str"/>
      <x:c r="H210" s="2"/>
      <x:c r="I210" s="2"/>
      <x:c r="J210" s="2"/>
    </x:row>
    <x:row r="211" ht="22" customHeight="1">
      <x:c r="A211" s="48" t="str"/>
      <x:c r="B211" s="48" t="str"/>
      <x:c r="C211" s="48" t="str"/>
      <x:c r="D211" s="48" t="str">
        <x:v>IGFBP3</x:v>
      </x:c>
      <x:c r="E211" s="48" t="str"/>
      <x:c r="F211" s="48" t="str"/>
      <x:c r="G211" s="48" t="str"/>
      <x:c r="H211" s="2"/>
      <x:c r="I211" s="2"/>
      <x:c r="J211" s="2"/>
    </x:row>
    <x:row r="212" ht="22" customHeight="1">
      <x:c r="A212" s="48" t="str"/>
      <x:c r="B212" s="48" t="str"/>
      <x:c r="C212" s="48" t="str"/>
      <x:c r="D212" s="48" t="str">
        <x:v>IL10</x:v>
      </x:c>
      <x:c r="E212" s="48" t="str"/>
      <x:c r="F212" s="48" t="str"/>
      <x:c r="G212" s="48" t="str"/>
      <x:c r="H212" s="2"/>
      <x:c r="I212" s="2"/>
      <x:c r="J212" s="2"/>
    </x:row>
    <x:row r="213" ht="22" customHeight="1">
      <x:c r="A213" s="48" t="str"/>
      <x:c r="B213" s="48" t="str"/>
      <x:c r="C213" s="48" t="str"/>
      <x:c r="D213" s="48" t="str">
        <x:v>IL17A</x:v>
      </x:c>
      <x:c r="E213" s="48" t="str"/>
      <x:c r="F213" s="48" t="str"/>
      <x:c r="G213" s="48" t="str"/>
      <x:c r="H213" s="2"/>
      <x:c r="I213" s="2"/>
      <x:c r="J213" s="2"/>
    </x:row>
    <x:row r="214" ht="22" customHeight="1">
      <x:c r="A214" s="48" t="str"/>
      <x:c r="B214" s="48" t="str"/>
      <x:c r="C214" s="48" t="str"/>
      <x:c r="D214" s="48" t="str">
        <x:v>IL18</x:v>
      </x:c>
      <x:c r="E214" s="48" t="str"/>
      <x:c r="F214" s="48" t="str"/>
      <x:c r="G214" s="48" t="str"/>
      <x:c r="H214" s="2"/>
      <x:c r="I214" s="2"/>
      <x:c r="J214" s="2"/>
    </x:row>
    <x:row r="215" ht="22" customHeight="1">
      <x:c r="A215" s="48" t="str"/>
      <x:c r="B215" s="48" t="str"/>
      <x:c r="C215" s="48" t="str"/>
      <x:c r="D215" s="48" t="str">
        <x:v>IL1B</x:v>
      </x:c>
      <x:c r="E215" s="48" t="str"/>
      <x:c r="F215" s="48" t="str"/>
      <x:c r="G215" s="48" t="str"/>
      <x:c r="H215" s="2"/>
      <x:c r="I215" s="2"/>
      <x:c r="J215" s="2"/>
    </x:row>
    <x:row r="216" ht="22" customHeight="1">
      <x:c r="A216" s="48" t="str"/>
      <x:c r="B216" s="48" t="str"/>
      <x:c r="C216" s="48" t="str"/>
      <x:c r="D216" s="48" t="str">
        <x:v>IL1RL1</x:v>
      </x:c>
      <x:c r="E216" s="48" t="str"/>
      <x:c r="F216" s="48" t="str"/>
      <x:c r="G216" s="48" t="str"/>
      <x:c r="H216" s="2"/>
      <x:c r="I216" s="2"/>
      <x:c r="J216" s="2"/>
    </x:row>
    <x:row r="217" ht="22" customHeight="1">
      <x:c r="A217" s="48" t="str"/>
      <x:c r="B217" s="48" t="str"/>
      <x:c r="C217" s="48" t="str"/>
      <x:c r="D217" s="48" t="str">
        <x:v>IL1RN</x:v>
      </x:c>
      <x:c r="E217" s="48" t="str"/>
      <x:c r="F217" s="48" t="str"/>
      <x:c r="G217" s="48" t="str"/>
      <x:c r="H217" s="2"/>
      <x:c r="I217" s="2"/>
      <x:c r="J217" s="2"/>
    </x:row>
    <x:row r="218" ht="22" customHeight="1">
      <x:c r="A218" s="48" t="str"/>
      <x:c r="B218" s="48" t="str"/>
      <x:c r="C218" s="48" t="str"/>
      <x:c r="D218" s="48" t="str">
        <x:v>IL2</x:v>
      </x:c>
      <x:c r="E218" s="48" t="str"/>
      <x:c r="F218" s="48" t="str"/>
      <x:c r="G218" s="48" t="str"/>
      <x:c r="H218" s="2"/>
      <x:c r="I218" s="2"/>
      <x:c r="J218" s="2"/>
    </x:row>
    <x:row r="219" ht="22" customHeight="1">
      <x:c r="A219" s="48" t="str"/>
      <x:c r="B219" s="48" t="str"/>
      <x:c r="C219" s="48" t="str"/>
      <x:c r="D219" s="48" t="str">
        <x:v>IL3</x:v>
      </x:c>
      <x:c r="E219" s="48" t="str"/>
      <x:c r="F219" s="48" t="str"/>
      <x:c r="G219" s="48" t="str"/>
      <x:c r="H219" s="2"/>
      <x:c r="I219" s="2"/>
      <x:c r="J219" s="2"/>
    </x:row>
    <x:row r="220" ht="22" customHeight="1">
      <x:c r="A220" s="48" t="str"/>
      <x:c r="B220" s="48" t="str"/>
      <x:c r="C220" s="48" t="str"/>
      <x:c r="D220" s="48" t="str">
        <x:v>IL33</x:v>
      </x:c>
      <x:c r="E220" s="48" t="str"/>
      <x:c r="F220" s="48" t="str"/>
      <x:c r="G220" s="48" t="str"/>
      <x:c r="H220" s="2"/>
      <x:c r="I220" s="2"/>
      <x:c r="J220" s="2"/>
    </x:row>
    <x:row r="221" ht="22" customHeight="1">
      <x:c r="A221" s="48" t="str"/>
      <x:c r="B221" s="48" t="str"/>
      <x:c r="C221" s="48" t="str"/>
      <x:c r="D221" s="48" t="str">
        <x:v>IL34</x:v>
      </x:c>
      <x:c r="E221" s="48" t="str"/>
      <x:c r="F221" s="48" t="str"/>
      <x:c r="G221" s="48" t="str"/>
      <x:c r="H221" s="2"/>
      <x:c r="I221" s="2"/>
      <x:c r="J221" s="2"/>
    </x:row>
    <x:row r="222" ht="22" customHeight="1">
      <x:c r="A222" s="48" t="str"/>
      <x:c r="B222" s="48" t="str"/>
      <x:c r="C222" s="48" t="str"/>
      <x:c r="D222" s="48" t="str">
        <x:v>IL37</x:v>
      </x:c>
      <x:c r="E222" s="48" t="str"/>
      <x:c r="F222" s="48" t="str"/>
      <x:c r="G222" s="48" t="str"/>
      <x:c r="H222" s="2"/>
      <x:c r="I222" s="2"/>
      <x:c r="J222" s="2"/>
    </x:row>
    <x:row r="223" ht="22" customHeight="1">
      <x:c r="A223" s="48" t="str"/>
      <x:c r="B223" s="48" t="str"/>
      <x:c r="C223" s="48" t="str"/>
      <x:c r="D223" s="48" t="str">
        <x:v>IL4</x:v>
      </x:c>
      <x:c r="E223" s="48" t="str"/>
      <x:c r="F223" s="48" t="str"/>
      <x:c r="G223" s="48" t="str"/>
      <x:c r="H223" s="2"/>
      <x:c r="I223" s="2"/>
      <x:c r="J223" s="2"/>
    </x:row>
    <x:row r="224" ht="22" customHeight="1">
      <x:c r="A224" s="48" t="str"/>
      <x:c r="B224" s="48" t="str"/>
      <x:c r="C224" s="48" t="str"/>
      <x:c r="D224" s="48" t="str">
        <x:v>IL6</x:v>
      </x:c>
      <x:c r="E224" s="48" t="str"/>
      <x:c r="F224" s="48" t="str"/>
      <x:c r="G224" s="48" t="str"/>
      <x:c r="H224" s="2"/>
      <x:c r="I224" s="2"/>
      <x:c r="J224" s="2"/>
    </x:row>
    <x:row r="225" ht="22" customHeight="1">
      <x:c r="A225" s="48" t="str"/>
      <x:c r="B225" s="48" t="str"/>
      <x:c r="C225" s="48" t="str"/>
      <x:c r="D225" s="48" t="str">
        <x:v>IL7</x:v>
      </x:c>
      <x:c r="E225" s="48" t="str"/>
      <x:c r="F225" s="48" t="str"/>
      <x:c r="G225" s="48" t="str"/>
      <x:c r="H225" s="2"/>
      <x:c r="I225" s="2"/>
      <x:c r="J225" s="2"/>
    </x:row>
    <x:row r="226" ht="22" customHeight="1">
      <x:c r="A226" s="48" t="str"/>
      <x:c r="B226" s="48" t="str"/>
      <x:c r="C226" s="48" t="str"/>
      <x:c r="D226" s="48" t="str">
        <x:v>ITGA2</x:v>
      </x:c>
      <x:c r="E226" s="48" t="str"/>
      <x:c r="F226" s="48" t="str"/>
      <x:c r="G226" s="48" t="str"/>
      <x:c r="H226" s="2"/>
      <x:c r="I226" s="2"/>
      <x:c r="J226" s="2"/>
    </x:row>
    <x:row r="227" ht="22" customHeight="1">
      <x:c r="A227" s="48" t="str"/>
      <x:c r="B227" s="48" t="str"/>
      <x:c r="C227" s="48" t="str"/>
      <x:c r="D227" s="48" t="str">
        <x:v>ITGA2B</x:v>
      </x:c>
      <x:c r="E227" s="48" t="str"/>
      <x:c r="F227" s="48" t="str"/>
      <x:c r="G227" s="48" t="str"/>
      <x:c r="H227" s="2"/>
      <x:c r="I227" s="2"/>
      <x:c r="J227" s="2"/>
    </x:row>
    <x:row r="228" ht="22" customHeight="1">
      <x:c r="A228" s="48" t="str"/>
      <x:c r="B228" s="48" t="str"/>
      <x:c r="C228" s="48" t="str"/>
      <x:c r="D228" s="48" t="str">
        <x:v>ITGA4</x:v>
      </x:c>
      <x:c r="E228" s="48" t="str"/>
      <x:c r="F228" s="48" t="str"/>
      <x:c r="G228" s="48" t="str"/>
      <x:c r="H228" s="2"/>
      <x:c r="I228" s="2"/>
      <x:c r="J228" s="2"/>
    </x:row>
    <x:row r="229" ht="22" customHeight="1">
      <x:c r="A229" s="48" t="str"/>
      <x:c r="B229" s="48" t="str"/>
      <x:c r="C229" s="48" t="str"/>
      <x:c r="D229" s="48" t="str">
        <x:v>ITGB1</x:v>
      </x:c>
      <x:c r="E229" s="48" t="str"/>
      <x:c r="F229" s="48" t="str"/>
      <x:c r="G229" s="48" t="str"/>
      <x:c r="H229" s="2"/>
      <x:c r="I229" s="2"/>
      <x:c r="J229" s="2"/>
    </x:row>
    <x:row r="230" ht="22" customHeight="1">
      <x:c r="A230" s="48" t="str"/>
      <x:c r="B230" s="48" t="str"/>
      <x:c r="C230" s="48" t="str"/>
      <x:c r="D230" s="48" t="str">
        <x:v>ITGB3</x:v>
      </x:c>
      <x:c r="E230" s="48" t="str"/>
      <x:c r="F230" s="48" t="str"/>
      <x:c r="G230" s="48" t="str"/>
      <x:c r="H230" s="2"/>
      <x:c r="I230" s="2"/>
      <x:c r="J230" s="2"/>
    </x:row>
    <x:row r="231" ht="22" customHeight="1">
      <x:c r="A231" s="48" t="str"/>
      <x:c r="B231" s="48" t="str"/>
      <x:c r="C231" s="48" t="str"/>
      <x:c r="D231" s="48" t="str">
        <x:v>ITIH4</x:v>
      </x:c>
      <x:c r="E231" s="48" t="str"/>
      <x:c r="F231" s="48" t="str"/>
      <x:c r="G231" s="48" t="str"/>
      <x:c r="H231" s="2"/>
      <x:c r="I231" s="2"/>
      <x:c r="J231" s="2"/>
    </x:row>
    <x:row r="232" ht="22" customHeight="1">
      <x:c r="A232" s="48" t="str"/>
      <x:c r="B232" s="48" t="str"/>
      <x:c r="C232" s="48" t="str"/>
      <x:c r="D232" s="48" t="str">
        <x:v>ITLN1</x:v>
      </x:c>
      <x:c r="E232" s="48" t="str"/>
      <x:c r="F232" s="48" t="str"/>
      <x:c r="G232" s="48" t="str"/>
      <x:c r="H232" s="2"/>
      <x:c r="I232" s="2"/>
      <x:c r="J232" s="2"/>
    </x:row>
    <x:row r="233" ht="22" customHeight="1">
      <x:c r="A233" s="48" t="str"/>
      <x:c r="B233" s="48" t="str"/>
      <x:c r="C233" s="48" t="str"/>
      <x:c r="D233" s="48" t="str">
        <x:v>ITSN1</x:v>
      </x:c>
      <x:c r="E233" s="48" t="str"/>
      <x:c r="F233" s="48" t="str"/>
      <x:c r="G233" s="48" t="str"/>
      <x:c r="H233" s="2"/>
      <x:c r="I233" s="2"/>
      <x:c r="J233" s="2"/>
    </x:row>
    <x:row r="234" ht="22" customHeight="1">
      <x:c r="A234" s="48" t="str"/>
      <x:c r="B234" s="48" t="str"/>
      <x:c r="C234" s="48" t="str"/>
      <x:c r="D234" s="48" t="str">
        <x:v>JAK2</x:v>
      </x:c>
      <x:c r="E234" s="48" t="str"/>
      <x:c r="F234" s="48" t="str"/>
      <x:c r="G234" s="48" t="str"/>
      <x:c r="H234" s="2"/>
      <x:c r="I234" s="2"/>
      <x:c r="J234" s="2"/>
    </x:row>
    <x:row r="235" ht="22" customHeight="1">
      <x:c r="A235" s="48" t="str"/>
      <x:c r="B235" s="48" t="str"/>
      <x:c r="C235" s="48" t="str"/>
      <x:c r="D235" s="48" t="str">
        <x:v>JAM2</x:v>
      </x:c>
      <x:c r="E235" s="48" t="str"/>
      <x:c r="F235" s="48" t="str"/>
      <x:c r="G235" s="48" t="str"/>
      <x:c r="H235" s="2"/>
      <x:c r="I235" s="2"/>
      <x:c r="J235" s="2"/>
    </x:row>
    <x:row r="236" ht="22" customHeight="1">
      <x:c r="A236" s="48" t="str"/>
      <x:c r="B236" s="48" t="str"/>
      <x:c r="C236" s="48" t="str"/>
      <x:c r="D236" s="48" t="str">
        <x:v>JKAMP</x:v>
      </x:c>
      <x:c r="E236" s="48" t="str"/>
      <x:c r="F236" s="48" t="str"/>
      <x:c r="G236" s="48" t="str"/>
      <x:c r="H236" s="2"/>
      <x:c r="I236" s="2"/>
      <x:c r="J236" s="2"/>
    </x:row>
    <x:row r="237" ht="22" customHeight="1">
      <x:c r="A237" s="48" t="str"/>
      <x:c r="B237" s="48" t="str"/>
      <x:c r="C237" s="48" t="str"/>
      <x:c r="D237" s="48" t="str">
        <x:v>KDM2A</x:v>
      </x:c>
      <x:c r="E237" s="48" t="str"/>
      <x:c r="F237" s="48" t="str"/>
      <x:c r="G237" s="48" t="str"/>
      <x:c r="H237" s="2"/>
      <x:c r="I237" s="2"/>
      <x:c r="J237" s="2"/>
    </x:row>
    <x:row r="238" ht="22" customHeight="1">
      <x:c r="A238" s="48" t="str"/>
      <x:c r="B238" s="48" t="str"/>
      <x:c r="C238" s="48" t="str"/>
      <x:c r="D238" s="48" t="str">
        <x:v>KDR</x:v>
      </x:c>
      <x:c r="E238" s="48" t="str"/>
      <x:c r="F238" s="48" t="str"/>
      <x:c r="G238" s="48" t="str"/>
      <x:c r="H238" s="2"/>
      <x:c r="I238" s="2"/>
      <x:c r="J238" s="2"/>
    </x:row>
    <x:row r="239" ht="22" customHeight="1">
      <x:c r="A239" s="48" t="str"/>
      <x:c r="B239" s="48" t="str"/>
      <x:c r="C239" s="48" t="str"/>
      <x:c r="D239" s="48" t="str">
        <x:v>KIF5A</x:v>
      </x:c>
      <x:c r="E239" s="48" t="str"/>
      <x:c r="F239" s="48" t="str"/>
      <x:c r="G239" s="48" t="str"/>
      <x:c r="H239" s="2"/>
      <x:c r="I239" s="2"/>
      <x:c r="J239" s="2"/>
    </x:row>
    <x:row r="240" ht="22" customHeight="1">
      <x:c r="A240" s="48" t="str"/>
      <x:c r="B240" s="48" t="str"/>
      <x:c r="C240" s="48" t="str"/>
      <x:c r="D240" s="48" t="str">
        <x:v>KL</x:v>
      </x:c>
      <x:c r="E240" s="48" t="str"/>
      <x:c r="F240" s="48" t="str"/>
      <x:c r="G240" s="48" t="str"/>
      <x:c r="H240" s="2"/>
      <x:c r="I240" s="2"/>
      <x:c r="J240" s="2"/>
    </x:row>
    <x:row r="241" ht="22" customHeight="1">
      <x:c r="A241" s="48" t="str"/>
      <x:c r="B241" s="48" t="str"/>
      <x:c r="C241" s="48" t="str"/>
      <x:c r="D241" s="48" t="str">
        <x:v>KLK1</x:v>
      </x:c>
      <x:c r="E241" s="48" t="str"/>
      <x:c r="F241" s="48" t="str"/>
      <x:c r="G241" s="48" t="str"/>
      <x:c r="H241" s="2"/>
      <x:c r="I241" s="2"/>
      <x:c r="J241" s="2"/>
    </x:row>
    <x:row r="242" ht="22" customHeight="1">
      <x:c r="A242" s="48" t="str"/>
      <x:c r="B242" s="48" t="str"/>
      <x:c r="C242" s="48" t="str"/>
      <x:c r="D242" s="48" t="str">
        <x:v>KLK2</x:v>
      </x:c>
      <x:c r="E242" s="48" t="str"/>
      <x:c r="F242" s="48" t="str"/>
      <x:c r="G242" s="48" t="str"/>
      <x:c r="H242" s="2"/>
      <x:c r="I242" s="2"/>
      <x:c r="J242" s="2"/>
    </x:row>
    <x:row r="243" ht="22" customHeight="1">
      <x:c r="A243" s="48" t="str"/>
      <x:c r="B243" s="48" t="str"/>
      <x:c r="C243" s="48" t="str"/>
      <x:c r="D243" s="48" t="str">
        <x:v>KLK4</x:v>
      </x:c>
      <x:c r="E243" s="48" t="str"/>
      <x:c r="F243" s="48" t="str"/>
      <x:c r="G243" s="48" t="str"/>
      <x:c r="H243" s="2"/>
      <x:c r="I243" s="2"/>
      <x:c r="J243" s="2"/>
    </x:row>
    <x:row r="244" ht="22" customHeight="1">
      <x:c r="A244" s="48" t="str"/>
      <x:c r="B244" s="48" t="str"/>
      <x:c r="C244" s="48" t="str"/>
      <x:c r="D244" s="48" t="str">
        <x:v>L1CAM</x:v>
      </x:c>
      <x:c r="E244" s="48" t="str"/>
      <x:c r="F244" s="48" t="str"/>
      <x:c r="G244" s="48" t="str"/>
      <x:c r="H244" s="2"/>
      <x:c r="I244" s="2"/>
      <x:c r="J244" s="2"/>
    </x:row>
    <x:row r="245" ht="22" customHeight="1">
      <x:c r="A245" s="48" t="str"/>
      <x:c r="B245" s="48" t="str"/>
      <x:c r="C245" s="48" t="str"/>
      <x:c r="D245" s="48" t="str">
        <x:v>LBP</x:v>
      </x:c>
      <x:c r="E245" s="48" t="str"/>
      <x:c r="F245" s="48" t="str"/>
      <x:c r="G245" s="48" t="str"/>
      <x:c r="H245" s="2"/>
      <x:c r="I245" s="2"/>
      <x:c r="J245" s="2"/>
    </x:row>
    <x:row r="246" ht="22" customHeight="1">
      <x:c r="A246" s="48" t="str"/>
      <x:c r="B246" s="48" t="str"/>
      <x:c r="C246" s="48" t="str"/>
      <x:c r="D246" s="48" t="str">
        <x:v>LCN2</x:v>
      </x:c>
      <x:c r="E246" s="48" t="str"/>
      <x:c r="F246" s="48" t="str"/>
      <x:c r="G246" s="48" t="str"/>
      <x:c r="H246" s="2"/>
      <x:c r="I246" s="2"/>
      <x:c r="J246" s="2"/>
    </x:row>
    <x:row r="247" ht="22" customHeight="1">
      <x:c r="A247" s="48" t="str"/>
      <x:c r="B247" s="48" t="str"/>
      <x:c r="C247" s="48" t="str"/>
      <x:c r="D247" s="48" t="str">
        <x:v>LGALS3</x:v>
      </x:c>
      <x:c r="E247" s="48" t="str"/>
      <x:c r="F247" s="48" t="str"/>
      <x:c r="G247" s="48" t="str"/>
      <x:c r="H247" s="2"/>
      <x:c r="I247" s="2"/>
      <x:c r="J247" s="2"/>
    </x:row>
    <x:row r="248" ht="22" customHeight="1">
      <x:c r="A248" s="48" t="str"/>
      <x:c r="B248" s="48" t="str"/>
      <x:c r="C248" s="48" t="str"/>
      <x:c r="D248" s="48" t="str">
        <x:v>LOX</x:v>
      </x:c>
      <x:c r="E248" s="48" t="str"/>
      <x:c r="F248" s="48" t="str"/>
      <x:c r="G248" s="48" t="str"/>
      <x:c r="H248" s="2"/>
      <x:c r="I248" s="2"/>
      <x:c r="J248" s="2"/>
    </x:row>
    <x:row r="249" ht="22" customHeight="1">
      <x:c r="A249" s="48" t="str"/>
      <x:c r="B249" s="48" t="str"/>
      <x:c r="C249" s="48" t="str"/>
      <x:c r="D249" s="48" t="str">
        <x:v>LPA</x:v>
      </x:c>
      <x:c r="E249" s="48" t="str"/>
      <x:c r="F249" s="48" t="str"/>
      <x:c r="G249" s="48" t="str"/>
      <x:c r="H249" s="2"/>
      <x:c r="I249" s="2"/>
      <x:c r="J249" s="2"/>
    </x:row>
    <x:row r="250" ht="22" customHeight="1">
      <x:c r="A250" s="48" t="str"/>
      <x:c r="B250" s="48" t="str"/>
      <x:c r="C250" s="48" t="str"/>
      <x:c r="D250" s="48" t="str">
        <x:v>LPL</x:v>
      </x:c>
      <x:c r="E250" s="48" t="str"/>
      <x:c r="F250" s="48" t="str"/>
      <x:c r="G250" s="48" t="str"/>
      <x:c r="H250" s="2"/>
      <x:c r="I250" s="2"/>
      <x:c r="J250" s="2"/>
    </x:row>
    <x:row r="251" ht="22" customHeight="1">
      <x:c r="A251" s="48" t="str"/>
      <x:c r="B251" s="48" t="str"/>
      <x:c r="C251" s="48" t="str"/>
      <x:c r="D251" s="48" t="str">
        <x:v>LRG1</x:v>
      </x:c>
      <x:c r="E251" s="48" t="str"/>
      <x:c r="F251" s="48" t="str"/>
      <x:c r="G251" s="48" t="str"/>
      <x:c r="H251" s="2"/>
      <x:c r="I251" s="2"/>
      <x:c r="J251" s="2"/>
    </x:row>
    <x:row r="252" ht="22" customHeight="1">
      <x:c r="A252" s="48" t="str"/>
      <x:c r="B252" s="48" t="str"/>
      <x:c r="C252" s="48" t="str"/>
      <x:c r="D252" s="48" t="str">
        <x:v>LRP1</x:v>
      </x:c>
      <x:c r="E252" s="48" t="str"/>
      <x:c r="F252" s="48" t="str"/>
      <x:c r="G252" s="48" t="str"/>
      <x:c r="H252" s="2"/>
      <x:c r="I252" s="2"/>
      <x:c r="J252" s="2"/>
    </x:row>
    <x:row r="253" ht="22" customHeight="1">
      <x:c r="A253" s="48" t="str"/>
      <x:c r="B253" s="48" t="str"/>
      <x:c r="C253" s="48" t="str"/>
      <x:c r="D253" s="48" t="str">
        <x:v>LTA</x:v>
      </x:c>
      <x:c r="E253" s="48" t="str"/>
      <x:c r="F253" s="48" t="str"/>
      <x:c r="G253" s="48" t="str"/>
      <x:c r="H253" s="2"/>
      <x:c r="I253" s="2"/>
      <x:c r="J253" s="2"/>
    </x:row>
    <x:row r="254" ht="22" customHeight="1">
      <x:c r="A254" s="48" t="str"/>
      <x:c r="B254" s="48" t="str"/>
      <x:c r="C254" s="48" t="str"/>
      <x:c r="D254" s="48" t="str">
        <x:v>MALT1</x:v>
      </x:c>
      <x:c r="E254" s="48" t="str"/>
      <x:c r="F254" s="48" t="str"/>
      <x:c r="G254" s="48" t="str"/>
      <x:c r="H254" s="2"/>
      <x:c r="I254" s="2"/>
      <x:c r="J254" s="2"/>
    </x:row>
    <x:row r="255" ht="22" customHeight="1">
      <x:c r="A255" s="48" t="str"/>
      <x:c r="B255" s="48" t="str"/>
      <x:c r="C255" s="48" t="str"/>
      <x:c r="D255" s="48" t="str">
        <x:v>MAPK1</x:v>
      </x:c>
      <x:c r="E255" s="48" t="str"/>
      <x:c r="F255" s="48" t="str"/>
      <x:c r="G255" s="48" t="str"/>
      <x:c r="H255" s="2"/>
      <x:c r="I255" s="2"/>
      <x:c r="J255" s="2"/>
    </x:row>
    <x:row r="256" ht="22" customHeight="1">
      <x:c r="A256" s="48" t="str"/>
      <x:c r="B256" s="48" t="str"/>
      <x:c r="C256" s="48" t="str"/>
      <x:c r="D256" s="48" t="str">
        <x:v>MAPK3</x:v>
      </x:c>
      <x:c r="E256" s="48" t="str"/>
      <x:c r="F256" s="48" t="str"/>
      <x:c r="G256" s="48" t="str"/>
      <x:c r="H256" s="2"/>
      <x:c r="I256" s="2"/>
      <x:c r="J256" s="2"/>
    </x:row>
    <x:row r="257" ht="22" customHeight="1">
      <x:c r="A257" s="48" t="str"/>
      <x:c r="B257" s="48" t="str"/>
      <x:c r="C257" s="48" t="str"/>
      <x:c r="D257" s="48" t="str">
        <x:v>MAPK8</x:v>
      </x:c>
      <x:c r="E257" s="48" t="str"/>
      <x:c r="F257" s="48" t="str"/>
      <x:c r="G257" s="48" t="str"/>
      <x:c r="H257" s="2"/>
      <x:c r="I257" s="2"/>
      <x:c r="J257" s="2"/>
    </x:row>
    <x:row r="258" ht="22" customHeight="1">
      <x:c r="A258" s="48" t="str"/>
      <x:c r="B258" s="48" t="str"/>
      <x:c r="C258" s="48" t="str"/>
      <x:c r="D258" s="48" t="str">
        <x:v>MAPT</x:v>
      </x:c>
      <x:c r="E258" s="48" t="str"/>
      <x:c r="F258" s="48" t="str"/>
      <x:c r="G258" s="48" t="str"/>
      <x:c r="H258" s="2"/>
      <x:c r="I258" s="2"/>
      <x:c r="J258" s="2"/>
    </x:row>
    <x:row r="259" ht="22" customHeight="1">
      <x:c r="A259" s="48" t="str"/>
      <x:c r="B259" s="48" t="str"/>
      <x:c r="C259" s="48" t="str"/>
      <x:c r="D259" s="48" t="str">
        <x:v>MAT2A</x:v>
      </x:c>
      <x:c r="E259" s="48" t="str"/>
      <x:c r="F259" s="48" t="str"/>
      <x:c r="G259" s="48" t="str"/>
      <x:c r="H259" s="2"/>
      <x:c r="I259" s="2"/>
      <x:c r="J259" s="2"/>
    </x:row>
    <x:row r="260" ht="22" customHeight="1">
      <x:c r="A260" s="48" t="str"/>
      <x:c r="B260" s="48" t="str"/>
      <x:c r="C260" s="48" t="str"/>
      <x:c r="D260" s="48" t="str">
        <x:v>MBL2</x:v>
      </x:c>
      <x:c r="E260" s="48" t="str"/>
      <x:c r="F260" s="48" t="str"/>
      <x:c r="G260" s="48" t="str"/>
      <x:c r="H260" s="2"/>
      <x:c r="I260" s="2"/>
      <x:c r="J260" s="2"/>
    </x:row>
    <x:row r="261" ht="22" customHeight="1">
      <x:c r="A261" s="48" t="str"/>
      <x:c r="B261" s="48" t="str"/>
      <x:c r="C261" s="48" t="str"/>
      <x:c r="D261" s="48" t="str">
        <x:v>MBP</x:v>
      </x:c>
      <x:c r="E261" s="48" t="str"/>
      <x:c r="F261" s="48" t="str"/>
      <x:c r="G261" s="48" t="str"/>
      <x:c r="H261" s="2"/>
      <x:c r="I261" s="2"/>
      <x:c r="J261" s="2"/>
    </x:row>
    <x:row r="262" ht="22" customHeight="1">
      <x:c r="A262" s="48" t="str"/>
      <x:c r="B262" s="48" t="str"/>
      <x:c r="C262" s="48" t="str"/>
      <x:c r="D262" s="48" t="str">
        <x:v>MCL1</x:v>
      </x:c>
      <x:c r="E262" s="48" t="str"/>
      <x:c r="F262" s="48" t="str"/>
      <x:c r="G262" s="48" t="str"/>
      <x:c r="H262" s="2"/>
      <x:c r="I262" s="2"/>
      <x:c r="J262" s="2"/>
    </x:row>
    <x:row r="263" ht="22" customHeight="1">
      <x:c r="A263" s="48" t="str"/>
      <x:c r="B263" s="48" t="str"/>
      <x:c r="C263" s="48" t="str"/>
      <x:c r="D263" s="48" t="str">
        <x:v>MDM2</x:v>
      </x:c>
      <x:c r="E263" s="48" t="str"/>
      <x:c r="F263" s="48" t="str"/>
      <x:c r="G263" s="48" t="str"/>
      <x:c r="H263" s="2"/>
      <x:c r="I263" s="2"/>
      <x:c r="J263" s="2"/>
    </x:row>
    <x:row r="264" ht="22" customHeight="1">
      <x:c r="A264" s="48" t="str"/>
      <x:c r="B264" s="48" t="str"/>
      <x:c r="C264" s="48" t="str"/>
      <x:c r="D264" s="48" t="str">
        <x:v>METTL3</x:v>
      </x:c>
      <x:c r="E264" s="48" t="str"/>
      <x:c r="F264" s="48" t="str"/>
      <x:c r="G264" s="48" t="str"/>
      <x:c r="H264" s="2"/>
      <x:c r="I264" s="2"/>
      <x:c r="J264" s="2"/>
    </x:row>
    <x:row r="265" ht="22" customHeight="1">
      <x:c r="A265" s="48" t="str"/>
      <x:c r="B265" s="48" t="str"/>
      <x:c r="C265" s="48" t="str"/>
      <x:c r="D265" s="48" t="str">
        <x:v>MFAP5</x:v>
      </x:c>
      <x:c r="E265" s="48" t="str"/>
      <x:c r="F265" s="48" t="str"/>
      <x:c r="G265" s="48" t="str"/>
      <x:c r="H265" s="2"/>
      <x:c r="I265" s="2"/>
      <x:c r="J265" s="2"/>
    </x:row>
    <x:row r="266" ht="22" customHeight="1">
      <x:c r="A266" s="48" t="str"/>
      <x:c r="B266" s="48" t="str"/>
      <x:c r="C266" s="48" t="str"/>
      <x:c r="D266" s="48" t="str">
        <x:v>MIF</x:v>
      </x:c>
      <x:c r="E266" s="48" t="str"/>
      <x:c r="F266" s="48" t="str"/>
      <x:c r="G266" s="48" t="str"/>
      <x:c r="H266" s="2"/>
      <x:c r="I266" s="2"/>
      <x:c r="J266" s="2"/>
    </x:row>
    <x:row r="267" ht="22" customHeight="1">
      <x:c r="A267" s="48" t="str"/>
      <x:c r="B267" s="48" t="str"/>
      <x:c r="C267" s="48" t="str"/>
      <x:c r="D267" s="48" t="str">
        <x:v>MMACHC</x:v>
      </x:c>
      <x:c r="E267" s="48" t="str"/>
      <x:c r="F267" s="48" t="str"/>
      <x:c r="G267" s="48" t="str"/>
      <x:c r="H267" s="2"/>
      <x:c r="I267" s="2"/>
      <x:c r="J267" s="2"/>
    </x:row>
    <x:row r="268" ht="22" customHeight="1">
      <x:c r="A268" s="48" t="str"/>
      <x:c r="B268" s="48" t="str"/>
      <x:c r="C268" s="48" t="str"/>
      <x:c r="D268" s="48" t="str">
        <x:v>MMP1</x:v>
      </x:c>
      <x:c r="E268" s="48" t="str"/>
      <x:c r="F268" s="48" t="str"/>
      <x:c r="G268" s="48" t="str"/>
      <x:c r="H268" s="2"/>
      <x:c r="I268" s="2"/>
      <x:c r="J268" s="2"/>
    </x:row>
    <x:row r="269" ht="22" customHeight="1">
      <x:c r="A269" s="48" t="str"/>
      <x:c r="B269" s="48" t="str"/>
      <x:c r="C269" s="48" t="str"/>
      <x:c r="D269" s="48" t="str">
        <x:v>MMP10</x:v>
      </x:c>
      <x:c r="E269" s="48" t="str"/>
      <x:c r="F269" s="48" t="str"/>
      <x:c r="G269" s="48" t="str"/>
      <x:c r="H269" s="2"/>
      <x:c r="I269" s="2"/>
      <x:c r="J269" s="2"/>
    </x:row>
    <x:row r="270" ht="22" customHeight="1">
      <x:c r="A270" s="48" t="str"/>
      <x:c r="B270" s="48" t="str"/>
      <x:c r="C270" s="48" t="str"/>
      <x:c r="D270" s="48" t="str">
        <x:v>MMP2</x:v>
      </x:c>
      <x:c r="E270" s="48" t="str"/>
      <x:c r="F270" s="48" t="str"/>
      <x:c r="G270" s="48" t="str"/>
      <x:c r="H270" s="2"/>
      <x:c r="I270" s="2"/>
      <x:c r="J270" s="2"/>
    </x:row>
    <x:row r="271" ht="22" customHeight="1">
      <x:c r="A271" s="48" t="str"/>
      <x:c r="B271" s="48" t="str"/>
      <x:c r="C271" s="48" t="str"/>
      <x:c r="D271" s="48" t="str">
        <x:v>MMP9</x:v>
      </x:c>
      <x:c r="E271" s="48" t="str"/>
      <x:c r="F271" s="48" t="str"/>
      <x:c r="G271" s="48" t="str"/>
      <x:c r="H271" s="2"/>
      <x:c r="I271" s="2"/>
      <x:c r="J271" s="2"/>
    </x:row>
    <x:row r="272" ht="22" customHeight="1">
      <x:c r="A272" s="48" t="str"/>
      <x:c r="B272" s="48" t="str"/>
      <x:c r="C272" s="48" t="str"/>
      <x:c r="D272" s="48" t="str">
        <x:v>MPO</x:v>
      </x:c>
      <x:c r="E272" s="48" t="str"/>
      <x:c r="F272" s="48" t="str"/>
      <x:c r="G272" s="48" t="str"/>
      <x:c r="H272" s="2"/>
      <x:c r="I272" s="2"/>
      <x:c r="J272" s="2"/>
    </x:row>
    <x:row r="273" ht="22" customHeight="1">
      <x:c r="A273" s="48" t="str"/>
      <x:c r="B273" s="48" t="str"/>
      <x:c r="C273" s="48" t="str"/>
      <x:c r="D273" s="48" t="str">
        <x:v>MTHFR</x:v>
      </x:c>
      <x:c r="E273" s="48" t="str"/>
      <x:c r="F273" s="48" t="str"/>
      <x:c r="G273" s="48" t="str"/>
      <x:c r="H273" s="2"/>
      <x:c r="I273" s="2"/>
      <x:c r="J273" s="2"/>
    </x:row>
    <x:row r="274" ht="22" customHeight="1">
      <x:c r="A274" s="48" t="str"/>
      <x:c r="B274" s="48" t="str"/>
      <x:c r="C274" s="48" t="str"/>
      <x:c r="D274" s="48" t="str">
        <x:v>MUC16</x:v>
      </x:c>
      <x:c r="E274" s="48" t="str"/>
      <x:c r="F274" s="48" t="str"/>
      <x:c r="G274" s="48" t="str"/>
      <x:c r="H274" s="2"/>
      <x:c r="I274" s="2"/>
      <x:c r="J274" s="2"/>
    </x:row>
    <x:row r="275" ht="22" customHeight="1">
      <x:c r="A275" s="48" t="str"/>
      <x:c r="B275" s="48" t="str"/>
      <x:c r="C275" s="48" t="str"/>
      <x:c r="D275" s="48" t="str">
        <x:v>MYH11</x:v>
      </x:c>
      <x:c r="E275" s="48" t="str"/>
      <x:c r="F275" s="48" t="str"/>
      <x:c r="G275" s="48" t="str"/>
      <x:c r="H275" s="2"/>
      <x:c r="I275" s="2"/>
      <x:c r="J275" s="2"/>
    </x:row>
    <x:row r="276" ht="22" customHeight="1">
      <x:c r="A276" s="48" t="str"/>
      <x:c r="B276" s="48" t="str"/>
      <x:c r="C276" s="48" t="str"/>
      <x:c r="D276" s="48" t="str">
        <x:v>MYLK</x:v>
      </x:c>
      <x:c r="E276" s="48" t="str"/>
      <x:c r="F276" s="48" t="str"/>
      <x:c r="G276" s="48" t="str"/>
      <x:c r="H276" s="2"/>
      <x:c r="I276" s="2"/>
      <x:c r="J276" s="2"/>
    </x:row>
    <x:row r="277" ht="22" customHeight="1">
      <x:c r="A277" s="48" t="str"/>
      <x:c r="B277" s="48" t="str"/>
      <x:c r="C277" s="48" t="str"/>
      <x:c r="D277" s="48" t="str">
        <x:v>MYORG</x:v>
      </x:c>
      <x:c r="E277" s="48" t="str"/>
      <x:c r="F277" s="48" t="str"/>
      <x:c r="G277" s="48" t="str"/>
      <x:c r="H277" s="2"/>
      <x:c r="I277" s="2"/>
      <x:c r="J277" s="2"/>
    </x:row>
    <x:row r="278" ht="22" customHeight="1">
      <x:c r="A278" s="48" t="str"/>
      <x:c r="B278" s="48" t="str"/>
      <x:c r="C278" s="48" t="str"/>
      <x:c r="D278" s="48" t="str">
        <x:v>NAMPT</x:v>
      </x:c>
      <x:c r="E278" s="48" t="str"/>
      <x:c r="F278" s="48" t="str"/>
      <x:c r="G278" s="48" t="str"/>
      <x:c r="H278" s="2"/>
      <x:c r="I278" s="2"/>
      <x:c r="J278" s="2"/>
    </x:row>
    <x:row r="279" ht="22" customHeight="1">
      <x:c r="A279" s="48" t="str"/>
      <x:c r="B279" s="48" t="str"/>
      <x:c r="C279" s="48" t="str"/>
      <x:c r="D279" s="48" t="str">
        <x:v>NEFH</x:v>
      </x:c>
      <x:c r="E279" s="48" t="str"/>
      <x:c r="F279" s="48" t="str"/>
      <x:c r="G279" s="48" t="str"/>
      <x:c r="H279" s="2"/>
      <x:c r="I279" s="2"/>
      <x:c r="J279" s="2"/>
    </x:row>
    <x:row r="280" ht="22" customHeight="1">
      <x:c r="A280" s="48" t="str"/>
      <x:c r="B280" s="48" t="str"/>
      <x:c r="C280" s="48" t="str"/>
      <x:c r="D280" s="48" t="str">
        <x:v>NEFL</x:v>
      </x:c>
      <x:c r="E280" s="48" t="str"/>
      <x:c r="F280" s="48" t="str"/>
      <x:c r="G280" s="48" t="str"/>
      <x:c r="H280" s="2"/>
      <x:c r="I280" s="2"/>
      <x:c r="J280" s="2"/>
    </x:row>
    <x:row r="281" ht="22" customHeight="1">
      <x:c r="A281" s="48" t="str"/>
      <x:c r="B281" s="48" t="str"/>
      <x:c r="C281" s="48" t="str"/>
      <x:c r="D281" s="48" t="str">
        <x:v>NFE2L2</x:v>
      </x:c>
      <x:c r="E281" s="48" t="str"/>
      <x:c r="F281" s="48" t="str"/>
      <x:c r="G281" s="48" t="str"/>
      <x:c r="H281" s="2"/>
      <x:c r="I281" s="2"/>
      <x:c r="J281" s="2"/>
    </x:row>
    <x:row r="282" ht="22" customHeight="1">
      <x:c r="A282" s="48" t="str"/>
      <x:c r="B282" s="48" t="str"/>
      <x:c r="C282" s="48" t="str"/>
      <x:c r="D282" s="48" t="str">
        <x:v>NFKB1</x:v>
      </x:c>
      <x:c r="E282" s="48" t="str"/>
      <x:c r="F282" s="48" t="str"/>
      <x:c r="G282" s="48" t="str"/>
      <x:c r="H282" s="2"/>
      <x:c r="I282" s="2"/>
      <x:c r="J282" s="2"/>
    </x:row>
    <x:row r="283" ht="22" customHeight="1">
      <x:c r="A283" s="48" t="str"/>
      <x:c r="B283" s="48" t="str"/>
      <x:c r="C283" s="48" t="str"/>
      <x:c r="D283" s="48" t="str">
        <x:v>NFKBIA</x:v>
      </x:c>
      <x:c r="E283" s="48" t="str"/>
      <x:c r="F283" s="48" t="str"/>
      <x:c r="G283" s="48" t="str"/>
      <x:c r="H283" s="2"/>
      <x:c r="I283" s="2"/>
      <x:c r="J283" s="2"/>
    </x:row>
    <x:row r="284" ht="22" customHeight="1">
      <x:c r="A284" s="48" t="str"/>
      <x:c r="B284" s="48" t="str"/>
      <x:c r="C284" s="48" t="str"/>
      <x:c r="D284" s="48" t="str">
        <x:v>NGB</x:v>
      </x:c>
      <x:c r="E284" s="48" t="str"/>
      <x:c r="F284" s="48" t="str"/>
      <x:c r="G284" s="48" t="str"/>
      <x:c r="H284" s="2"/>
      <x:c r="I284" s="2"/>
      <x:c r="J284" s="2"/>
    </x:row>
    <x:row r="285" ht="22" customHeight="1">
      <x:c r="A285" s="48" t="str"/>
      <x:c r="B285" s="48" t="str"/>
      <x:c r="C285" s="48" t="str"/>
      <x:c r="D285" s="48" t="str">
        <x:v>NGF</x:v>
      </x:c>
      <x:c r="E285" s="48" t="str"/>
      <x:c r="F285" s="48" t="str"/>
      <x:c r="G285" s="48" t="str"/>
      <x:c r="H285" s="2"/>
      <x:c r="I285" s="2"/>
      <x:c r="J285" s="2"/>
    </x:row>
    <x:row r="286" ht="22" customHeight="1">
      <x:c r="A286" s="48" t="str"/>
      <x:c r="B286" s="48" t="str"/>
      <x:c r="C286" s="48" t="str"/>
      <x:c r="D286" s="48" t="str">
        <x:v>NGFR</x:v>
      </x:c>
      <x:c r="E286" s="48" t="str"/>
      <x:c r="F286" s="48" t="str"/>
      <x:c r="G286" s="48" t="str"/>
      <x:c r="H286" s="2"/>
      <x:c r="I286" s="2"/>
      <x:c r="J286" s="2"/>
    </x:row>
    <x:row r="287" ht="22" customHeight="1">
      <x:c r="A287" s="48" t="str"/>
      <x:c r="B287" s="48" t="str"/>
      <x:c r="C287" s="48" t="str"/>
      <x:c r="D287" s="48" t="str">
        <x:v>NIT1</x:v>
      </x:c>
      <x:c r="E287" s="48" t="str"/>
      <x:c r="F287" s="48" t="str"/>
      <x:c r="G287" s="48" t="str"/>
      <x:c r="H287" s="2"/>
      <x:c r="I287" s="2"/>
      <x:c r="J287" s="2"/>
    </x:row>
    <x:row r="288" ht="22" customHeight="1">
      <x:c r="A288" s="48" t="str"/>
      <x:c r="B288" s="48" t="str"/>
      <x:c r="C288" s="48" t="str"/>
      <x:c r="D288" s="48" t="str">
        <x:v>NLRP3</x:v>
      </x:c>
      <x:c r="E288" s="48" t="str"/>
      <x:c r="F288" s="48" t="str"/>
      <x:c r="G288" s="48" t="str"/>
      <x:c r="H288" s="2"/>
      <x:c r="I288" s="2"/>
      <x:c r="J288" s="2"/>
    </x:row>
    <x:row r="289" ht="22" customHeight="1">
      <x:c r="A289" s="48" t="str"/>
      <x:c r="B289" s="48" t="str"/>
      <x:c r="C289" s="48" t="str"/>
      <x:c r="D289" s="48" t="str">
        <x:v>NOS1</x:v>
      </x:c>
      <x:c r="E289" s="48" t="str"/>
      <x:c r="F289" s="48" t="str"/>
      <x:c r="G289" s="48" t="str"/>
      <x:c r="H289" s="2"/>
      <x:c r="I289" s="2"/>
      <x:c r="J289" s="2"/>
    </x:row>
    <x:row r="290" ht="22" customHeight="1">
      <x:c r="A290" s="48" t="str"/>
      <x:c r="B290" s="48" t="str"/>
      <x:c r="C290" s="48" t="str"/>
      <x:c r="D290" s="48" t="str">
        <x:v>NOS2</x:v>
      </x:c>
      <x:c r="E290" s="48" t="str"/>
      <x:c r="F290" s="48" t="str"/>
      <x:c r="G290" s="48" t="str"/>
      <x:c r="H290" s="2"/>
      <x:c r="I290" s="2"/>
      <x:c r="J290" s="2"/>
    </x:row>
    <x:row r="291" ht="22" customHeight="1">
      <x:c r="A291" s="48" t="str"/>
      <x:c r="B291" s="48" t="str"/>
      <x:c r="C291" s="48" t="str"/>
      <x:c r="D291" s="48" t="str">
        <x:v>NOS3</x:v>
      </x:c>
      <x:c r="E291" s="48" t="str"/>
      <x:c r="F291" s="48" t="str"/>
      <x:c r="G291" s="48" t="str"/>
      <x:c r="H291" s="2"/>
      <x:c r="I291" s="2"/>
      <x:c r="J291" s="2"/>
    </x:row>
    <x:row r="292" ht="22" customHeight="1">
      <x:c r="A292" s="48" t="str"/>
      <x:c r="B292" s="48" t="str"/>
      <x:c r="C292" s="48" t="str"/>
      <x:c r="D292" s="48" t="str">
        <x:v>NOTCH3</x:v>
      </x:c>
      <x:c r="E292" s="48" t="str"/>
      <x:c r="F292" s="48" t="str"/>
      <x:c r="G292" s="48" t="str"/>
      <x:c r="H292" s="2"/>
      <x:c r="I292" s="2"/>
      <x:c r="J292" s="2"/>
    </x:row>
    <x:row r="293" ht="22" customHeight="1">
      <x:c r="A293" s="48" t="str"/>
      <x:c r="B293" s="48" t="str"/>
      <x:c r="C293" s="48" t="str"/>
      <x:c r="D293" s="48" t="str">
        <x:v>NOX5</x:v>
      </x:c>
      <x:c r="E293" s="48" t="str"/>
      <x:c r="F293" s="48" t="str"/>
      <x:c r="G293" s="48" t="str"/>
      <x:c r="H293" s="2"/>
      <x:c r="I293" s="2"/>
      <x:c r="J293" s="2"/>
    </x:row>
    <x:row r="294" ht="22" customHeight="1">
      <x:c r="A294" s="48" t="str"/>
      <x:c r="B294" s="48" t="str"/>
      <x:c r="C294" s="48" t="str"/>
      <x:c r="D294" s="48" t="str">
        <x:v>NPPA</x:v>
      </x:c>
      <x:c r="E294" s="48" t="str"/>
      <x:c r="F294" s="48" t="str"/>
      <x:c r="G294" s="48" t="str"/>
      <x:c r="H294" s="2"/>
      <x:c r="I294" s="2"/>
      <x:c r="J294" s="2"/>
    </x:row>
    <x:row r="295" ht="22" customHeight="1">
      <x:c r="A295" s="48" t="str"/>
      <x:c r="B295" s="48" t="str"/>
      <x:c r="C295" s="48" t="str"/>
      <x:c r="D295" s="48" t="str">
        <x:v>NPPB</x:v>
      </x:c>
      <x:c r="E295" s="48" t="str"/>
      <x:c r="F295" s="48" t="str"/>
      <x:c r="G295" s="48" t="str"/>
      <x:c r="H295" s="2"/>
      <x:c r="I295" s="2"/>
      <x:c r="J295" s="2"/>
    </x:row>
    <x:row r="296" ht="22" customHeight="1">
      <x:c r="A296" s="48" t="str"/>
      <x:c r="B296" s="48" t="str"/>
      <x:c r="C296" s="48" t="str"/>
      <x:c r="D296" s="48" t="str">
        <x:v>NR1I2</x:v>
      </x:c>
      <x:c r="E296" s="48" t="str"/>
      <x:c r="F296" s="48" t="str"/>
      <x:c r="G296" s="48" t="str"/>
      <x:c r="H296" s="2"/>
      <x:c r="I296" s="2"/>
      <x:c r="J296" s="2"/>
    </x:row>
    <x:row r="297" ht="22" customHeight="1">
      <x:c r="A297" s="48" t="str"/>
      <x:c r="B297" s="48" t="str"/>
      <x:c r="C297" s="48" t="str"/>
      <x:c r="D297" s="48" t="str">
        <x:v>NRG1</x:v>
      </x:c>
      <x:c r="E297" s="48" t="str"/>
      <x:c r="F297" s="48" t="str"/>
      <x:c r="G297" s="48" t="str"/>
      <x:c r="H297" s="2"/>
      <x:c r="I297" s="2"/>
      <x:c r="J297" s="2"/>
    </x:row>
    <x:row r="298" ht="22" customHeight="1">
      <x:c r="A298" s="48" t="str"/>
      <x:c r="B298" s="48" t="str"/>
      <x:c r="C298" s="48" t="str"/>
      <x:c r="D298" s="48" t="str">
        <x:v>NRGN</x:v>
      </x:c>
      <x:c r="E298" s="48" t="str"/>
      <x:c r="F298" s="48" t="str"/>
      <x:c r="G298" s="48" t="str"/>
      <x:c r="H298" s="2"/>
      <x:c r="I298" s="2"/>
      <x:c r="J298" s="2"/>
    </x:row>
    <x:row r="299" ht="22" customHeight="1">
      <x:c r="A299" s="48" t="str"/>
      <x:c r="B299" s="48" t="str"/>
      <x:c r="C299" s="48" t="str"/>
      <x:c r="D299" s="48" t="str">
        <x:v>NTN1</x:v>
      </x:c>
      <x:c r="E299" s="48" t="str"/>
      <x:c r="F299" s="48" t="str"/>
      <x:c r="G299" s="48" t="str"/>
      <x:c r="H299" s="2"/>
      <x:c r="I299" s="2"/>
      <x:c r="J299" s="2"/>
    </x:row>
    <x:row r="300" ht="22" customHeight="1">
      <x:c r="A300" s="48" t="str"/>
      <x:c r="B300" s="48" t="str"/>
      <x:c r="C300" s="48" t="str"/>
      <x:c r="D300" s="48" t="str">
        <x:v>OCLN</x:v>
      </x:c>
      <x:c r="E300" s="48" t="str"/>
      <x:c r="F300" s="48" t="str"/>
      <x:c r="G300" s="48" t="str"/>
      <x:c r="H300" s="2"/>
      <x:c r="I300" s="2"/>
      <x:c r="J300" s="2"/>
    </x:row>
    <x:row r="301" ht="22" customHeight="1">
      <x:c r="A301" s="48" t="str"/>
      <x:c r="B301" s="48" t="str"/>
      <x:c r="C301" s="48" t="str"/>
      <x:c r="D301" s="48" t="str">
        <x:v>OLR1</x:v>
      </x:c>
      <x:c r="E301" s="48" t="str"/>
      <x:c r="F301" s="48" t="str"/>
      <x:c r="G301" s="48" t="str"/>
      <x:c r="H301" s="2"/>
      <x:c r="I301" s="2"/>
      <x:c r="J301" s="2"/>
    </x:row>
    <x:row r="302" ht="22" customHeight="1">
      <x:c r="A302" s="48" t="str"/>
      <x:c r="B302" s="48" t="str"/>
      <x:c r="C302" s="48" t="str"/>
      <x:c r="D302" s="48" t="str">
        <x:v>OPALIN</x:v>
      </x:c>
      <x:c r="E302" s="48" t="str"/>
      <x:c r="F302" s="48" t="str"/>
      <x:c r="G302" s="48" t="str"/>
      <x:c r="H302" s="2"/>
      <x:c r="I302" s="2"/>
      <x:c r="J302" s="2"/>
    </x:row>
    <x:row r="303" ht="22" customHeight="1">
      <x:c r="A303" s="48" t="str"/>
      <x:c r="B303" s="48" t="str"/>
      <x:c r="C303" s="48" t="str"/>
      <x:c r="D303" s="48" t="str">
        <x:v>P2RY12</x:v>
      </x:c>
      <x:c r="E303" s="48" t="str"/>
      <x:c r="F303" s="48" t="str"/>
      <x:c r="G303" s="48" t="str"/>
      <x:c r="H303" s="2"/>
      <x:c r="I303" s="2"/>
      <x:c r="J303" s="2"/>
    </x:row>
    <x:row r="304" ht="22" customHeight="1">
      <x:c r="A304" s="48" t="str"/>
      <x:c r="B304" s="48" t="str"/>
      <x:c r="C304" s="48" t="str"/>
      <x:c r="D304" s="48" t="str">
        <x:v>PANX1</x:v>
      </x:c>
      <x:c r="E304" s="48" t="str"/>
      <x:c r="F304" s="48" t="str"/>
      <x:c r="G304" s="48" t="str"/>
      <x:c r="H304" s="2"/>
      <x:c r="I304" s="2"/>
      <x:c r="J304" s="2"/>
    </x:row>
    <x:row r="305" ht="22" customHeight="1">
      <x:c r="A305" s="48" t="str"/>
      <x:c r="B305" s="48" t="str"/>
      <x:c r="C305" s="48" t="str"/>
      <x:c r="D305" s="48" t="str">
        <x:v>PARP1</x:v>
      </x:c>
      <x:c r="E305" s="48" t="str"/>
      <x:c r="F305" s="48" t="str"/>
      <x:c r="G305" s="48" t="str"/>
      <x:c r="H305" s="2"/>
      <x:c r="I305" s="2"/>
      <x:c r="J305" s="2"/>
    </x:row>
    <x:row r="306" ht="22" customHeight="1">
      <x:c r="A306" s="48" t="str"/>
      <x:c r="B306" s="48" t="str"/>
      <x:c r="C306" s="48" t="str"/>
      <x:c r="D306" s="48" t="str">
        <x:v>PCSK9</x:v>
      </x:c>
      <x:c r="E306" s="48" t="str"/>
      <x:c r="F306" s="48" t="str"/>
      <x:c r="G306" s="48" t="str"/>
      <x:c r="H306" s="2"/>
      <x:c r="I306" s="2"/>
      <x:c r="J306" s="2"/>
    </x:row>
    <x:row r="307" ht="22" customHeight="1">
      <x:c r="A307" s="48" t="str"/>
      <x:c r="B307" s="48" t="str"/>
      <x:c r="C307" s="48" t="str"/>
      <x:c r="D307" s="48" t="str">
        <x:v>PDE3A</x:v>
      </x:c>
      <x:c r="E307" s="48" t="str"/>
      <x:c r="F307" s="48" t="str"/>
      <x:c r="G307" s="48" t="str"/>
      <x:c r="H307" s="2"/>
      <x:c r="I307" s="2"/>
      <x:c r="J307" s="2"/>
    </x:row>
    <x:row r="308" ht="22" customHeight="1">
      <x:c r="A308" s="48" t="str"/>
      <x:c r="B308" s="48" t="str"/>
      <x:c r="C308" s="48" t="str"/>
      <x:c r="D308" s="48" t="str">
        <x:v>PDGFB</x:v>
      </x:c>
      <x:c r="E308" s="48" t="str"/>
      <x:c r="F308" s="48" t="str"/>
      <x:c r="G308" s="48" t="str"/>
      <x:c r="H308" s="2"/>
      <x:c r="I308" s="2"/>
      <x:c r="J308" s="2"/>
    </x:row>
    <x:row r="309" ht="22" customHeight="1">
      <x:c r="A309" s="48" t="str"/>
      <x:c r="B309" s="48" t="str"/>
      <x:c r="C309" s="48" t="str"/>
      <x:c r="D309" s="48" t="str">
        <x:v>PDGFRB</x:v>
      </x:c>
      <x:c r="E309" s="48" t="str"/>
      <x:c r="F309" s="48" t="str"/>
      <x:c r="G309" s="48" t="str"/>
      <x:c r="H309" s="2"/>
      <x:c r="I309" s="2"/>
      <x:c r="J309" s="2"/>
    </x:row>
    <x:row r="310" ht="22" customHeight="1">
      <x:c r="A310" s="48" t="str"/>
      <x:c r="B310" s="48" t="str"/>
      <x:c r="C310" s="48" t="str"/>
      <x:c r="D310" s="48" t="str">
        <x:v>PEAR1</x:v>
      </x:c>
      <x:c r="E310" s="48" t="str"/>
      <x:c r="F310" s="48" t="str"/>
      <x:c r="G310" s="48" t="str"/>
      <x:c r="H310" s="2"/>
      <x:c r="I310" s="2"/>
      <x:c r="J310" s="2"/>
    </x:row>
    <x:row r="311" ht="22" customHeight="1">
      <x:c r="A311" s="48" t="str"/>
      <x:c r="B311" s="48" t="str"/>
      <x:c r="C311" s="48" t="str"/>
      <x:c r="D311" s="48" t="str">
        <x:v>PENK</x:v>
      </x:c>
      <x:c r="E311" s="48" t="str"/>
      <x:c r="F311" s="48" t="str"/>
      <x:c r="G311" s="48" t="str"/>
      <x:c r="H311" s="2"/>
      <x:c r="I311" s="2"/>
      <x:c r="J311" s="2"/>
    </x:row>
    <x:row r="312" ht="22" customHeight="1">
      <x:c r="A312" s="48" t="str"/>
      <x:c r="B312" s="48" t="str"/>
      <x:c r="C312" s="48" t="str"/>
      <x:c r="D312" s="48" t="str">
        <x:v>PF4</x:v>
      </x:c>
      <x:c r="E312" s="48" t="str"/>
      <x:c r="F312" s="48" t="str"/>
      <x:c r="G312" s="48" t="str"/>
      <x:c r="H312" s="2"/>
      <x:c r="I312" s="2"/>
      <x:c r="J312" s="2"/>
    </x:row>
    <x:row r="313" ht="22" customHeight="1">
      <x:c r="A313" s="48" t="str"/>
      <x:c r="B313" s="48" t="str"/>
      <x:c r="C313" s="48" t="str"/>
      <x:c r="D313" s="48" t="str">
        <x:v>PHB2</x:v>
      </x:c>
      <x:c r="E313" s="48" t="str"/>
      <x:c r="F313" s="48" t="str"/>
      <x:c r="G313" s="48" t="str"/>
      <x:c r="H313" s="2"/>
      <x:c r="I313" s="2"/>
      <x:c r="J313" s="2"/>
    </x:row>
    <x:row r="314" ht="22" customHeight="1">
      <x:c r="A314" s="48" t="str"/>
      <x:c r="B314" s="48" t="str"/>
      <x:c r="C314" s="48" t="str"/>
      <x:c r="D314" s="48" t="str">
        <x:v>PLA2G7</x:v>
      </x:c>
      <x:c r="E314" s="48" t="str"/>
      <x:c r="F314" s="48" t="str"/>
      <x:c r="G314" s="48" t="str"/>
      <x:c r="H314" s="2"/>
      <x:c r="I314" s="2"/>
      <x:c r="J314" s="2"/>
    </x:row>
    <x:row r="315" ht="22" customHeight="1">
      <x:c r="A315" s="48" t="str"/>
      <x:c r="B315" s="48" t="str"/>
      <x:c r="C315" s="48" t="str"/>
      <x:c r="D315" s="48" t="str">
        <x:v>PLAT</x:v>
      </x:c>
      <x:c r="E315" s="48" t="str"/>
      <x:c r="F315" s="48" t="str"/>
      <x:c r="G315" s="48" t="str"/>
      <x:c r="H315" s="2"/>
      <x:c r="I315" s="2"/>
      <x:c r="J315" s="2"/>
    </x:row>
    <x:row r="316" ht="22" customHeight="1">
      <x:c r="A316" s="48" t="str"/>
      <x:c r="B316" s="48" t="str"/>
      <x:c r="C316" s="48" t="str"/>
      <x:c r="D316" s="48" t="str">
        <x:v>PLAU</x:v>
      </x:c>
      <x:c r="E316" s="48" t="str"/>
      <x:c r="F316" s="48" t="str"/>
      <x:c r="G316" s="48" t="str"/>
      <x:c r="H316" s="2"/>
      <x:c r="I316" s="2"/>
      <x:c r="J316" s="2"/>
    </x:row>
    <x:row r="317" ht="22" customHeight="1">
      <x:c r="A317" s="48" t="str"/>
      <x:c r="B317" s="48" t="str"/>
      <x:c r="C317" s="48" t="str"/>
      <x:c r="D317" s="48" t="str">
        <x:v>PLAUR</x:v>
      </x:c>
      <x:c r="E317" s="48" t="str"/>
      <x:c r="F317" s="48" t="str"/>
      <x:c r="G317" s="48" t="str"/>
      <x:c r="H317" s="2"/>
      <x:c r="I317" s="2"/>
      <x:c r="J317" s="2"/>
    </x:row>
    <x:row r="318" ht="22" customHeight="1">
      <x:c r="A318" s="48" t="str"/>
      <x:c r="B318" s="48" t="str"/>
      <x:c r="C318" s="48" t="str"/>
      <x:c r="D318" s="48" t="str">
        <x:v>PLG</x:v>
      </x:c>
      <x:c r="E318" s="48" t="str"/>
      <x:c r="F318" s="48" t="str"/>
      <x:c r="G318" s="48" t="str"/>
      <x:c r="H318" s="2"/>
      <x:c r="I318" s="2"/>
      <x:c r="J318" s="2"/>
    </x:row>
    <x:row r="319" ht="22" customHeight="1">
      <x:c r="A319" s="48" t="str"/>
      <x:c r="B319" s="48" t="str"/>
      <x:c r="C319" s="48" t="str"/>
      <x:c r="D319" s="48" t="str">
        <x:v>PON1</x:v>
      </x:c>
      <x:c r="E319" s="48" t="str"/>
      <x:c r="F319" s="48" t="str"/>
      <x:c r="G319" s="48" t="str"/>
      <x:c r="H319" s="2"/>
      <x:c r="I319" s="2"/>
      <x:c r="J319" s="2"/>
    </x:row>
    <x:row r="320" ht="22" customHeight="1">
      <x:c r="A320" s="48" t="str"/>
      <x:c r="B320" s="48" t="str"/>
      <x:c r="C320" s="48" t="str"/>
      <x:c r="D320" s="48" t="str">
        <x:v>PPARA</x:v>
      </x:c>
      <x:c r="E320" s="48" t="str"/>
      <x:c r="F320" s="48" t="str"/>
      <x:c r="G320" s="48" t="str"/>
      <x:c r="H320" s="2"/>
      <x:c r="I320" s="2"/>
      <x:c r="J320" s="2"/>
    </x:row>
    <x:row r="321" ht="22" customHeight="1">
      <x:c r="A321" s="48" t="str"/>
      <x:c r="B321" s="48" t="str"/>
      <x:c r="C321" s="48" t="str"/>
      <x:c r="D321" s="48" t="str">
        <x:v>PPARD</x:v>
      </x:c>
      <x:c r="E321" s="48" t="str"/>
      <x:c r="F321" s="48" t="str"/>
      <x:c r="G321" s="48" t="str"/>
      <x:c r="H321" s="2"/>
      <x:c r="I321" s="2"/>
      <x:c r="J321" s="2"/>
    </x:row>
    <x:row r="322" ht="22" customHeight="1">
      <x:c r="A322" s="48" t="str"/>
      <x:c r="B322" s="48" t="str"/>
      <x:c r="C322" s="48" t="str"/>
      <x:c r="D322" s="48" t="str">
        <x:v>PRCP</x:v>
      </x:c>
      <x:c r="E322" s="48" t="str"/>
      <x:c r="F322" s="48" t="str"/>
      <x:c r="G322" s="48" t="str"/>
      <x:c r="H322" s="2"/>
      <x:c r="I322" s="2"/>
      <x:c r="J322" s="2"/>
    </x:row>
    <x:row r="323" ht="22" customHeight="1">
      <x:c r="A323" s="48" t="str"/>
      <x:c r="B323" s="48" t="str"/>
      <x:c r="C323" s="48" t="str"/>
      <x:c r="D323" s="48" t="str">
        <x:v>PRKG1</x:v>
      </x:c>
      <x:c r="E323" s="48" t="str"/>
      <x:c r="F323" s="48" t="str"/>
      <x:c r="G323" s="48" t="str"/>
      <x:c r="H323" s="2"/>
      <x:c r="I323" s="2"/>
      <x:c r="J323" s="2"/>
    </x:row>
    <x:row r="324" ht="22" customHeight="1">
      <x:c r="A324" s="48" t="str"/>
      <x:c r="B324" s="48" t="str"/>
      <x:c r="C324" s="48" t="str"/>
      <x:c r="D324" s="48" t="str">
        <x:v>PROC</x:v>
      </x:c>
      <x:c r="E324" s="48" t="str"/>
      <x:c r="F324" s="48" t="str"/>
      <x:c r="G324" s="48" t="str"/>
      <x:c r="H324" s="2"/>
      <x:c r="I324" s="2"/>
      <x:c r="J324" s="2"/>
    </x:row>
    <x:row r="325" ht="22" customHeight="1">
      <x:c r="A325" s="48" t="str"/>
      <x:c r="B325" s="48" t="str"/>
      <x:c r="C325" s="48" t="str"/>
      <x:c r="D325" s="48" t="str">
        <x:v>PROM1</x:v>
      </x:c>
      <x:c r="E325" s="48" t="str"/>
      <x:c r="F325" s="48" t="str"/>
      <x:c r="G325" s="48" t="str"/>
      <x:c r="H325" s="2"/>
      <x:c r="I325" s="2"/>
      <x:c r="J325" s="2"/>
    </x:row>
    <x:row r="326" ht="22" customHeight="1">
      <x:c r="A326" s="48" t="str"/>
      <x:c r="B326" s="48" t="str"/>
      <x:c r="C326" s="48" t="str"/>
      <x:c r="D326" s="48" t="str">
        <x:v>PROS1</x:v>
      </x:c>
      <x:c r="E326" s="48" t="str"/>
      <x:c r="F326" s="48" t="str"/>
      <x:c r="G326" s="48" t="str"/>
      <x:c r="H326" s="2"/>
      <x:c r="I326" s="2"/>
      <x:c r="J326" s="2"/>
    </x:row>
    <x:row r="327" ht="22" customHeight="1">
      <x:c r="A327" s="48" t="str"/>
      <x:c r="B327" s="48" t="str"/>
      <x:c r="C327" s="48" t="str"/>
      <x:c r="D327" s="48" t="str">
        <x:v>PSMB8</x:v>
      </x:c>
      <x:c r="E327" s="48" t="str"/>
      <x:c r="F327" s="48" t="str"/>
      <x:c r="G327" s="48" t="str"/>
      <x:c r="H327" s="2"/>
      <x:c r="I327" s="2"/>
      <x:c r="J327" s="2"/>
    </x:row>
    <x:row r="328" ht="22" customHeight="1">
      <x:c r="A328" s="48" t="str"/>
      <x:c r="B328" s="48" t="str"/>
      <x:c r="C328" s="48" t="str"/>
      <x:c r="D328" s="48" t="str">
        <x:v>PTGS1</x:v>
      </x:c>
      <x:c r="E328" s="48" t="str"/>
      <x:c r="F328" s="48" t="str"/>
      <x:c r="G328" s="48" t="str"/>
      <x:c r="H328" s="2"/>
      <x:c r="I328" s="2"/>
      <x:c r="J328" s="2"/>
    </x:row>
    <x:row r="329" ht="22" customHeight="1">
      <x:c r="A329" s="48" t="str"/>
      <x:c r="B329" s="48" t="str"/>
      <x:c r="C329" s="48" t="str"/>
      <x:c r="D329" s="48" t="str">
        <x:v>PTGS2</x:v>
      </x:c>
      <x:c r="E329" s="48" t="str"/>
      <x:c r="F329" s="48" t="str"/>
      <x:c r="G329" s="48" t="str"/>
      <x:c r="H329" s="2"/>
      <x:c r="I329" s="2"/>
      <x:c r="J329" s="2"/>
    </x:row>
    <x:row r="330" ht="22" customHeight="1">
      <x:c r="A330" s="48" t="str"/>
      <x:c r="B330" s="48" t="str"/>
      <x:c r="C330" s="48" t="str"/>
      <x:c r="D330" s="48" t="str">
        <x:v>PTPN11</x:v>
      </x:c>
      <x:c r="E330" s="48" t="str"/>
      <x:c r="F330" s="48" t="str"/>
      <x:c r="G330" s="48" t="str"/>
      <x:c r="H330" s="2"/>
      <x:c r="I330" s="2"/>
      <x:c r="J330" s="2"/>
    </x:row>
    <x:row r="331" ht="22" customHeight="1">
      <x:c r="A331" s="48" t="str"/>
      <x:c r="B331" s="48" t="str"/>
      <x:c r="C331" s="48" t="str"/>
      <x:c r="D331" s="48" t="str">
        <x:v>PTX3</x:v>
      </x:c>
      <x:c r="E331" s="48" t="str"/>
      <x:c r="F331" s="48" t="str"/>
      <x:c r="G331" s="48" t="str"/>
      <x:c r="H331" s="2"/>
      <x:c r="I331" s="2"/>
      <x:c r="J331" s="2"/>
    </x:row>
    <x:row r="332" ht="22" customHeight="1">
      <x:c r="A332" s="48" t="str"/>
      <x:c r="B332" s="48" t="str"/>
      <x:c r="C332" s="48" t="str"/>
      <x:c r="D332" s="48" t="str">
        <x:v>RARRES2</x:v>
      </x:c>
      <x:c r="E332" s="48" t="str"/>
      <x:c r="F332" s="48" t="str"/>
      <x:c r="G332" s="48" t="str"/>
      <x:c r="H332" s="2"/>
      <x:c r="I332" s="2"/>
      <x:c r="J332" s="2"/>
    </x:row>
    <x:row r="333" ht="22" customHeight="1">
      <x:c r="A333" s="48" t="str"/>
      <x:c r="B333" s="48" t="str"/>
      <x:c r="C333" s="48" t="str"/>
      <x:c r="D333" s="48" t="str">
        <x:v>RBP4</x:v>
      </x:c>
      <x:c r="E333" s="48" t="str"/>
      <x:c r="F333" s="48" t="str"/>
      <x:c r="G333" s="48" t="str"/>
      <x:c r="H333" s="2"/>
      <x:c r="I333" s="2"/>
      <x:c r="J333" s="2"/>
    </x:row>
    <x:row r="334" ht="22" customHeight="1">
      <x:c r="A334" s="48" t="str"/>
      <x:c r="B334" s="48" t="str"/>
      <x:c r="C334" s="48" t="str"/>
      <x:c r="D334" s="48" t="str">
        <x:v>RCAN1</x:v>
      </x:c>
      <x:c r="E334" s="48" t="str"/>
      <x:c r="F334" s="48" t="str"/>
      <x:c r="G334" s="48" t="str"/>
      <x:c r="H334" s="2"/>
      <x:c r="I334" s="2"/>
      <x:c r="J334" s="2"/>
    </x:row>
    <x:row r="335" ht="22" customHeight="1">
      <x:c r="A335" s="48" t="str"/>
      <x:c r="B335" s="48" t="str"/>
      <x:c r="C335" s="48" t="str"/>
      <x:c r="D335" s="48" t="str">
        <x:v>RELA</x:v>
      </x:c>
      <x:c r="E335" s="48" t="str"/>
      <x:c r="F335" s="48" t="str"/>
      <x:c r="G335" s="48" t="str"/>
      <x:c r="H335" s="2"/>
      <x:c r="I335" s="2"/>
      <x:c r="J335" s="2"/>
    </x:row>
    <x:row r="336" ht="22" customHeight="1">
      <x:c r="A336" s="48" t="str"/>
      <x:c r="B336" s="48" t="str"/>
      <x:c r="C336" s="48" t="str"/>
      <x:c r="D336" s="48" t="str">
        <x:v>RETN</x:v>
      </x:c>
      <x:c r="E336" s="48" t="str"/>
      <x:c r="F336" s="48" t="str"/>
      <x:c r="G336" s="48" t="str"/>
      <x:c r="H336" s="2"/>
      <x:c r="I336" s="2"/>
      <x:c r="J336" s="2"/>
    </x:row>
    <x:row r="337" ht="22" customHeight="1">
      <x:c r="A337" s="48" t="str"/>
      <x:c r="B337" s="48" t="str"/>
      <x:c r="C337" s="48" t="str"/>
      <x:c r="D337" s="48" t="str">
        <x:v>RIPK1</x:v>
      </x:c>
      <x:c r="E337" s="48" t="str"/>
      <x:c r="F337" s="48" t="str"/>
      <x:c r="G337" s="48" t="str"/>
      <x:c r="H337" s="2"/>
      <x:c r="I337" s="2"/>
      <x:c r="J337" s="2"/>
    </x:row>
    <x:row r="338" ht="22" customHeight="1">
      <x:c r="A338" s="48" t="str"/>
      <x:c r="B338" s="48" t="str"/>
      <x:c r="C338" s="48" t="str"/>
      <x:c r="D338" s="48" t="str">
        <x:v>RIPK3</x:v>
      </x:c>
      <x:c r="E338" s="48" t="str"/>
      <x:c r="F338" s="48" t="str"/>
      <x:c r="G338" s="48" t="str"/>
      <x:c r="H338" s="2"/>
      <x:c r="I338" s="2"/>
      <x:c r="J338" s="2"/>
    </x:row>
    <x:row r="339" ht="22" customHeight="1">
      <x:c r="A339" s="48" t="str"/>
      <x:c r="B339" s="48" t="str"/>
      <x:c r="C339" s="48" t="str"/>
      <x:c r="D339" s="48" t="str">
        <x:v>RNF213</x:v>
      </x:c>
      <x:c r="E339" s="48" t="str"/>
      <x:c r="F339" s="48" t="str"/>
      <x:c r="G339" s="48" t="str"/>
      <x:c r="H339" s="2"/>
      <x:c r="I339" s="2"/>
      <x:c r="J339" s="2"/>
    </x:row>
    <x:row r="340" ht="22" customHeight="1">
      <x:c r="A340" s="48" t="str"/>
      <x:c r="B340" s="48" t="str"/>
      <x:c r="C340" s="48" t="str"/>
      <x:c r="D340" s="48" t="str">
        <x:v>ROCK2</x:v>
      </x:c>
      <x:c r="E340" s="48" t="str"/>
      <x:c r="F340" s="48" t="str"/>
      <x:c r="G340" s="48" t="str"/>
      <x:c r="H340" s="2"/>
      <x:c r="I340" s="2"/>
      <x:c r="J340" s="2"/>
    </x:row>
    <x:row r="341" ht="22" customHeight="1">
      <x:c r="A341" s="48" t="str"/>
      <x:c r="B341" s="48" t="str"/>
      <x:c r="C341" s="48" t="str"/>
      <x:c r="D341" s="48" t="str">
        <x:v>RPL36A-HNRNPH2</x:v>
      </x:c>
      <x:c r="E341" s="48" t="str"/>
      <x:c r="F341" s="48" t="str"/>
      <x:c r="G341" s="48" t="str"/>
      <x:c r="H341" s="2"/>
      <x:c r="I341" s="2"/>
      <x:c r="J341" s="2"/>
    </x:row>
    <x:row r="342" ht="22" customHeight="1">
      <x:c r="A342" s="48" t="str"/>
      <x:c r="B342" s="48" t="str"/>
      <x:c r="C342" s="48" t="str"/>
      <x:c r="D342" s="48" t="str">
        <x:v>RPS5</x:v>
      </x:c>
      <x:c r="E342" s="48" t="str"/>
      <x:c r="F342" s="48" t="str"/>
      <x:c r="G342" s="48" t="str"/>
      <x:c r="H342" s="2"/>
      <x:c r="I342" s="2"/>
      <x:c r="J342" s="2"/>
    </x:row>
    <x:row r="343" ht="22" customHeight="1">
      <x:c r="A343" s="48" t="str"/>
      <x:c r="B343" s="48" t="str"/>
      <x:c r="C343" s="48" t="str"/>
      <x:c r="D343" s="48" t="str">
        <x:v>S100A8</x:v>
      </x:c>
      <x:c r="E343" s="48" t="str"/>
      <x:c r="F343" s="48" t="str"/>
      <x:c r="G343" s="48" t="str"/>
      <x:c r="H343" s="2"/>
      <x:c r="I343" s="2"/>
      <x:c r="J343" s="2"/>
    </x:row>
    <x:row r="344" ht="22" customHeight="1">
      <x:c r="A344" s="48" t="str"/>
      <x:c r="B344" s="48" t="str"/>
      <x:c r="C344" s="48" t="str"/>
      <x:c r="D344" s="48" t="str">
        <x:v>S100A9</x:v>
      </x:c>
      <x:c r="E344" s="48" t="str"/>
      <x:c r="F344" s="48" t="str"/>
      <x:c r="G344" s="48" t="str"/>
      <x:c r="H344" s="2"/>
      <x:c r="I344" s="2"/>
      <x:c r="J344" s="2"/>
    </x:row>
    <x:row r="345" ht="22" customHeight="1">
      <x:c r="A345" s="48" t="str"/>
      <x:c r="B345" s="48" t="str"/>
      <x:c r="C345" s="48" t="str"/>
      <x:c r="D345" s="48" t="str">
        <x:v>S100B</x:v>
      </x:c>
      <x:c r="E345" s="48" t="str"/>
      <x:c r="F345" s="48" t="str"/>
      <x:c r="G345" s="48" t="str"/>
      <x:c r="H345" s="2"/>
      <x:c r="I345" s="2"/>
      <x:c r="J345" s="2"/>
    </x:row>
    <x:row r="346" ht="22" customHeight="1">
      <x:c r="A346" s="48" t="str"/>
      <x:c r="B346" s="48" t="str"/>
      <x:c r="C346" s="48" t="str"/>
      <x:c r="D346" s="48" t="str">
        <x:v>SAA1</x:v>
      </x:c>
      <x:c r="E346" s="48" t="str"/>
      <x:c r="F346" s="48" t="str"/>
      <x:c r="G346" s="48" t="str"/>
      <x:c r="H346" s="2"/>
      <x:c r="I346" s="2"/>
      <x:c r="J346" s="2"/>
    </x:row>
    <x:row r="347" ht="22" customHeight="1">
      <x:c r="A347" s="48" t="str"/>
      <x:c r="B347" s="48" t="str"/>
      <x:c r="C347" s="48" t="str"/>
      <x:c r="D347" s="48" t="str">
        <x:v>SCN5A</x:v>
      </x:c>
      <x:c r="E347" s="48" t="str"/>
      <x:c r="F347" s="48" t="str"/>
      <x:c r="G347" s="48" t="str"/>
      <x:c r="H347" s="2"/>
      <x:c r="I347" s="2"/>
      <x:c r="J347" s="2"/>
    </x:row>
    <x:row r="348" ht="22" customHeight="1">
      <x:c r="A348" s="48" t="str"/>
      <x:c r="B348" s="48" t="str"/>
      <x:c r="C348" s="48" t="str"/>
      <x:c r="D348" s="48" t="str">
        <x:v>SDC1</x:v>
      </x:c>
      <x:c r="E348" s="48" t="str"/>
      <x:c r="F348" s="48" t="str"/>
      <x:c r="G348" s="48" t="str"/>
      <x:c r="H348" s="2"/>
      <x:c r="I348" s="2"/>
      <x:c r="J348" s="2"/>
    </x:row>
    <x:row r="349" ht="22" customHeight="1">
      <x:c r="A349" s="48" t="str"/>
      <x:c r="B349" s="48" t="str"/>
      <x:c r="C349" s="48" t="str"/>
      <x:c r="D349" s="48" t="str">
        <x:v>SELE</x:v>
      </x:c>
      <x:c r="E349" s="48" t="str"/>
      <x:c r="F349" s="48" t="str"/>
      <x:c r="G349" s="48" t="str"/>
      <x:c r="H349" s="2"/>
      <x:c r="I349" s="2"/>
      <x:c r="J349" s="2"/>
    </x:row>
    <x:row r="350" ht="22" customHeight="1">
      <x:c r="A350" s="48" t="str"/>
      <x:c r="B350" s="48" t="str"/>
      <x:c r="C350" s="48" t="str"/>
      <x:c r="D350" s="48" t="str">
        <x:v>SELP</x:v>
      </x:c>
      <x:c r="E350" s="48" t="str"/>
      <x:c r="F350" s="48" t="str"/>
      <x:c r="G350" s="48" t="str"/>
      <x:c r="H350" s="2"/>
      <x:c r="I350" s="2"/>
      <x:c r="J350" s="2"/>
    </x:row>
    <x:row r="351" ht="22" customHeight="1">
      <x:c r="A351" s="48" t="str"/>
      <x:c r="B351" s="48" t="str"/>
      <x:c r="C351" s="48" t="str"/>
      <x:c r="D351" s="48" t="str">
        <x:v>SELPLG</x:v>
      </x:c>
      <x:c r="E351" s="48" t="str"/>
      <x:c r="F351" s="48" t="str"/>
      <x:c r="G351" s="48" t="str"/>
      <x:c r="H351" s="2"/>
      <x:c r="I351" s="2"/>
      <x:c r="J351" s="2"/>
    </x:row>
    <x:row r="352" ht="22" customHeight="1">
      <x:c r="A352" s="48" t="str"/>
      <x:c r="B352" s="48" t="str"/>
      <x:c r="C352" s="48" t="str"/>
      <x:c r="D352" s="48" t="str">
        <x:v>SERPINA1</x:v>
      </x:c>
      <x:c r="E352" s="48" t="str"/>
      <x:c r="F352" s="48" t="str"/>
      <x:c r="G352" s="48" t="str"/>
      <x:c r="H352" s="2"/>
      <x:c r="I352" s="2"/>
      <x:c r="J352" s="2"/>
    </x:row>
    <x:row r="353" ht="22" customHeight="1">
      <x:c r="A353" s="48" t="str"/>
      <x:c r="B353" s="48" t="str"/>
      <x:c r="C353" s="48" t="str"/>
      <x:c r="D353" s="48" t="str">
        <x:v>SERPINA12</x:v>
      </x:c>
      <x:c r="E353" s="48" t="str"/>
      <x:c r="F353" s="48" t="str"/>
      <x:c r="G353" s="48" t="str"/>
      <x:c r="H353" s="2"/>
      <x:c r="I353" s="2"/>
      <x:c r="J353" s="2"/>
    </x:row>
    <x:row r="354" ht="22" customHeight="1">
      <x:c r="A354" s="48" t="str"/>
      <x:c r="B354" s="48" t="str"/>
      <x:c r="C354" s="48" t="str"/>
      <x:c r="D354" s="48" t="str">
        <x:v>SERPINC1</x:v>
      </x:c>
      <x:c r="E354" s="48" t="str"/>
      <x:c r="F354" s="48" t="str"/>
      <x:c r="G354" s="48" t="str"/>
      <x:c r="H354" s="2"/>
      <x:c r="I354" s="2"/>
      <x:c r="J354" s="2"/>
    </x:row>
    <x:row r="355" ht="22" customHeight="1">
      <x:c r="A355" s="48" t="str"/>
      <x:c r="B355" s="48" t="str"/>
      <x:c r="C355" s="48" t="str"/>
      <x:c r="D355" s="48" t="str">
        <x:v>SERPINE1</x:v>
      </x:c>
      <x:c r="E355" s="48" t="str"/>
      <x:c r="F355" s="48" t="str"/>
      <x:c r="G355" s="48" t="str"/>
      <x:c r="H355" s="2"/>
      <x:c r="I355" s="2"/>
      <x:c r="J355" s="2"/>
    </x:row>
    <x:row r="356" ht="22" customHeight="1">
      <x:c r="A356" s="48" t="str"/>
      <x:c r="B356" s="48" t="str"/>
      <x:c r="C356" s="48" t="str"/>
      <x:c r="D356" s="48" t="str">
        <x:v>SERPING1</x:v>
      </x:c>
      <x:c r="E356" s="48" t="str"/>
      <x:c r="F356" s="48" t="str"/>
      <x:c r="G356" s="48" t="str"/>
      <x:c r="H356" s="2"/>
      <x:c r="I356" s="2"/>
      <x:c r="J356" s="2"/>
    </x:row>
    <x:row r="357" ht="22" customHeight="1">
      <x:c r="A357" s="48" t="str"/>
      <x:c r="B357" s="48" t="str"/>
      <x:c r="C357" s="48" t="str"/>
      <x:c r="D357" s="48" t="str">
        <x:v>SERPINI1</x:v>
      </x:c>
      <x:c r="E357" s="48" t="str"/>
      <x:c r="F357" s="48" t="str"/>
      <x:c r="G357" s="48" t="str"/>
      <x:c r="H357" s="2"/>
      <x:c r="I357" s="2"/>
      <x:c r="J357" s="2"/>
    </x:row>
    <x:row r="358" ht="22" customHeight="1">
      <x:c r="A358" s="48" t="str"/>
      <x:c r="B358" s="48" t="str"/>
      <x:c r="C358" s="48" t="str"/>
      <x:c r="D358" s="48" t="str">
        <x:v>SGCG</x:v>
      </x:c>
      <x:c r="E358" s="48" t="str"/>
      <x:c r="F358" s="48" t="str"/>
      <x:c r="G358" s="48" t="str"/>
      <x:c r="H358" s="2"/>
      <x:c r="I358" s="2"/>
      <x:c r="J358" s="2"/>
    </x:row>
    <x:row r="359" ht="22" customHeight="1">
      <x:c r="A359" s="48" t="str"/>
      <x:c r="B359" s="48" t="str"/>
      <x:c r="C359" s="48" t="str"/>
      <x:c r="D359" s="48" t="str">
        <x:v>SIRT1</x:v>
      </x:c>
      <x:c r="E359" s="48" t="str"/>
      <x:c r="F359" s="48" t="str"/>
      <x:c r="G359" s="48" t="str"/>
      <x:c r="H359" s="2"/>
      <x:c r="I359" s="2"/>
      <x:c r="J359" s="2"/>
    </x:row>
    <x:row r="360" ht="22" customHeight="1">
      <x:c r="A360" s="48" t="str"/>
      <x:c r="B360" s="48" t="str"/>
      <x:c r="C360" s="48" t="str"/>
      <x:c r="D360" s="48" t="str">
        <x:v>SIRT2</x:v>
      </x:c>
      <x:c r="E360" s="48" t="str"/>
      <x:c r="F360" s="48" t="str"/>
      <x:c r="G360" s="48" t="str"/>
      <x:c r="H360" s="2"/>
      <x:c r="I360" s="2"/>
      <x:c r="J360" s="2"/>
    </x:row>
    <x:row r="361" ht="22" customHeight="1">
      <x:c r="A361" s="48" t="str"/>
      <x:c r="B361" s="48" t="str"/>
      <x:c r="C361" s="48" t="str"/>
      <x:c r="D361" s="48" t="str">
        <x:v>SIRT6</x:v>
      </x:c>
      <x:c r="E361" s="48" t="str"/>
      <x:c r="F361" s="48" t="str"/>
      <x:c r="G361" s="48" t="str"/>
      <x:c r="H361" s="2"/>
      <x:c r="I361" s="2"/>
      <x:c r="J361" s="2"/>
    </x:row>
    <x:row r="362" ht="22" customHeight="1">
      <x:c r="A362" s="48" t="str"/>
      <x:c r="B362" s="48" t="str"/>
      <x:c r="C362" s="48" t="str"/>
      <x:c r="D362" s="48" t="str">
        <x:v>SLC14A2</x:v>
      </x:c>
      <x:c r="E362" s="48" t="str"/>
      <x:c r="F362" s="48" t="str"/>
      <x:c r="G362" s="48" t="str"/>
      <x:c r="H362" s="2"/>
      <x:c r="I362" s="2"/>
      <x:c r="J362" s="2"/>
    </x:row>
    <x:row r="363" ht="22" customHeight="1">
      <x:c r="A363" s="48" t="str"/>
      <x:c r="B363" s="48" t="str"/>
      <x:c r="C363" s="48" t="str"/>
      <x:c r="D363" s="48" t="str">
        <x:v>SLC1A2</x:v>
      </x:c>
      <x:c r="E363" s="48" t="str"/>
      <x:c r="F363" s="48" t="str"/>
      <x:c r="G363" s="48" t="str"/>
      <x:c r="H363" s="2"/>
      <x:c r="I363" s="2"/>
      <x:c r="J363" s="2"/>
    </x:row>
    <x:row r="364" ht="22" customHeight="1">
      <x:c r="A364" s="48" t="str"/>
      <x:c r="B364" s="48" t="str"/>
      <x:c r="C364" s="48" t="str"/>
      <x:c r="D364" s="48" t="str">
        <x:v>SLC20A2</x:v>
      </x:c>
      <x:c r="E364" s="48" t="str"/>
      <x:c r="F364" s="48" t="str"/>
      <x:c r="G364" s="48" t="str"/>
      <x:c r="H364" s="2"/>
      <x:c r="I364" s="2"/>
      <x:c r="J364" s="2"/>
    </x:row>
    <x:row r="365" ht="22" customHeight="1">
      <x:c r="A365" s="48" t="str"/>
      <x:c r="B365" s="48" t="str"/>
      <x:c r="C365" s="48" t="str"/>
      <x:c r="D365" s="48" t="str">
        <x:v>SLC2A10</x:v>
      </x:c>
      <x:c r="E365" s="48" t="str"/>
      <x:c r="F365" s="48" t="str"/>
      <x:c r="G365" s="48" t="str"/>
      <x:c r="H365" s="2"/>
      <x:c r="I365" s="2"/>
      <x:c r="J365" s="2"/>
    </x:row>
    <x:row r="366" ht="22" customHeight="1">
      <x:c r="A366" s="48" t="str"/>
      <x:c r="B366" s="48" t="str"/>
      <x:c r="C366" s="48" t="str"/>
      <x:c r="D366" s="48" t="str">
        <x:v>SLC5A2</x:v>
      </x:c>
      <x:c r="E366" s="48" t="str"/>
      <x:c r="F366" s="48" t="str"/>
      <x:c r="G366" s="48" t="str"/>
      <x:c r="H366" s="2"/>
      <x:c r="I366" s="2"/>
      <x:c r="J366" s="2"/>
    </x:row>
    <x:row r="367" ht="22" customHeight="1">
      <x:c r="A367" s="48" t="str"/>
      <x:c r="B367" s="48" t="str"/>
      <x:c r="C367" s="48" t="str"/>
      <x:c r="D367" s="48" t="str">
        <x:v>SLC9A1</x:v>
      </x:c>
      <x:c r="E367" s="48" t="str"/>
      <x:c r="F367" s="48" t="str"/>
      <x:c r="G367" s="48" t="str"/>
      <x:c r="H367" s="2"/>
      <x:c r="I367" s="2"/>
      <x:c r="J367" s="2"/>
    </x:row>
    <x:row r="368" ht="22" customHeight="1">
      <x:c r="A368" s="48" t="str"/>
      <x:c r="B368" s="48" t="str"/>
      <x:c r="C368" s="48" t="str"/>
      <x:c r="D368" s="48" t="str">
        <x:v>SLCO1B1</x:v>
      </x:c>
      <x:c r="E368" s="48" t="str"/>
      <x:c r="F368" s="48" t="str"/>
      <x:c r="G368" s="48" t="str"/>
      <x:c r="H368" s="2"/>
      <x:c r="I368" s="2"/>
      <x:c r="J368" s="2"/>
    </x:row>
    <x:row r="369" ht="22" customHeight="1">
      <x:c r="A369" s="48" t="str"/>
      <x:c r="B369" s="48" t="str"/>
      <x:c r="C369" s="48" t="str"/>
      <x:c r="D369" s="48" t="str">
        <x:v>SLPI</x:v>
      </x:c>
      <x:c r="E369" s="48" t="str"/>
      <x:c r="F369" s="48" t="str"/>
      <x:c r="G369" s="48" t="str"/>
      <x:c r="H369" s="2"/>
      <x:c r="I369" s="2"/>
      <x:c r="J369" s="2"/>
    </x:row>
    <x:row r="370" ht="22" customHeight="1">
      <x:c r="A370" s="48" t="str"/>
      <x:c r="B370" s="48" t="str"/>
      <x:c r="C370" s="48" t="str"/>
      <x:c r="D370" s="48" t="str">
        <x:v>SMAD2</x:v>
      </x:c>
      <x:c r="E370" s="48" t="str"/>
      <x:c r="F370" s="48" t="str"/>
      <x:c r="G370" s="48" t="str"/>
      <x:c r="H370" s="2"/>
      <x:c r="I370" s="2"/>
      <x:c r="J370" s="2"/>
    </x:row>
    <x:row r="371" ht="22" customHeight="1">
      <x:c r="A371" s="48" t="str"/>
      <x:c r="B371" s="48" t="str"/>
      <x:c r="C371" s="48" t="str"/>
      <x:c r="D371" s="48" t="str">
        <x:v>SMAD3</x:v>
      </x:c>
      <x:c r="E371" s="48" t="str"/>
      <x:c r="F371" s="48" t="str"/>
      <x:c r="G371" s="48" t="str"/>
      <x:c r="H371" s="2"/>
      <x:c r="I371" s="2"/>
      <x:c r="J371" s="2"/>
    </x:row>
    <x:row r="372" ht="22" customHeight="1">
      <x:c r="A372" s="48" t="str"/>
      <x:c r="B372" s="48" t="str"/>
      <x:c r="C372" s="48" t="str"/>
      <x:c r="D372" s="48" t="str">
        <x:v>SMAD4</x:v>
      </x:c>
      <x:c r="E372" s="48" t="str"/>
      <x:c r="F372" s="48" t="str"/>
      <x:c r="G372" s="48" t="str"/>
      <x:c r="H372" s="2"/>
      <x:c r="I372" s="2"/>
      <x:c r="J372" s="2"/>
    </x:row>
    <x:row r="373" ht="22" customHeight="1">
      <x:c r="A373" s="48" t="str"/>
      <x:c r="B373" s="48" t="str"/>
      <x:c r="C373" s="48" t="str"/>
      <x:c r="D373" s="48" t="str">
        <x:v>SMARCAL1</x:v>
      </x:c>
      <x:c r="E373" s="48" t="str"/>
      <x:c r="F373" s="48" t="str"/>
      <x:c r="G373" s="48" t="str"/>
      <x:c r="H373" s="2"/>
      <x:c r="I373" s="2"/>
      <x:c r="J373" s="2"/>
    </x:row>
    <x:row r="374" ht="22" customHeight="1">
      <x:c r="A374" s="48" t="str"/>
      <x:c r="B374" s="48" t="str"/>
      <x:c r="C374" s="48" t="str"/>
      <x:c r="D374" s="48" t="str">
        <x:v>SNCA</x:v>
      </x:c>
      <x:c r="E374" s="48" t="str"/>
      <x:c r="F374" s="48" t="str"/>
      <x:c r="G374" s="48" t="str"/>
      <x:c r="H374" s="2"/>
      <x:c r="I374" s="2"/>
      <x:c r="J374" s="2"/>
    </x:row>
    <x:row r="375" ht="22" customHeight="1">
      <x:c r="A375" s="48" t="str"/>
      <x:c r="B375" s="48" t="str"/>
      <x:c r="C375" s="48" t="str"/>
      <x:c r="D375" s="48" t="str">
        <x:v>SNCB</x:v>
      </x:c>
      <x:c r="E375" s="48" t="str"/>
      <x:c r="F375" s="48" t="str"/>
      <x:c r="G375" s="48" t="str"/>
      <x:c r="H375" s="2"/>
      <x:c r="I375" s="2"/>
      <x:c r="J375" s="2"/>
    </x:row>
    <x:row r="376" ht="22" customHeight="1">
      <x:c r="A376" s="48" t="str"/>
      <x:c r="B376" s="48" t="str"/>
      <x:c r="C376" s="48" t="str"/>
      <x:c r="D376" s="48" t="str">
        <x:v>SOD1</x:v>
      </x:c>
      <x:c r="E376" s="48" t="str"/>
      <x:c r="F376" s="48" t="str"/>
      <x:c r="G376" s="48" t="str"/>
      <x:c r="H376" s="2"/>
      <x:c r="I376" s="2"/>
      <x:c r="J376" s="2"/>
    </x:row>
    <x:row r="377" ht="22" customHeight="1">
      <x:c r="A377" s="48" t="str"/>
      <x:c r="B377" s="48" t="str"/>
      <x:c r="C377" s="48" t="str"/>
      <x:c r="D377" s="48" t="str">
        <x:v>SOD2</x:v>
      </x:c>
      <x:c r="E377" s="48" t="str"/>
      <x:c r="F377" s="48" t="str"/>
      <x:c r="G377" s="48" t="str"/>
      <x:c r="H377" s="2"/>
      <x:c r="I377" s="2"/>
      <x:c r="J377" s="2"/>
    </x:row>
    <x:row r="378" ht="22" customHeight="1">
      <x:c r="A378" s="48" t="str"/>
      <x:c r="B378" s="48" t="str"/>
      <x:c r="C378" s="48" t="str"/>
      <x:c r="D378" s="48" t="str">
        <x:v>SON</x:v>
      </x:c>
      <x:c r="E378" s="48" t="str"/>
      <x:c r="F378" s="48" t="str"/>
      <x:c r="G378" s="48" t="str"/>
      <x:c r="H378" s="2"/>
      <x:c r="I378" s="2"/>
      <x:c r="J378" s="2"/>
    </x:row>
    <x:row r="379" ht="22" customHeight="1">
      <x:c r="A379" s="48" t="str"/>
      <x:c r="B379" s="48" t="str"/>
      <x:c r="C379" s="48" t="str"/>
      <x:c r="D379" s="48" t="str">
        <x:v>SOST</x:v>
      </x:c>
      <x:c r="E379" s="48" t="str"/>
      <x:c r="F379" s="48" t="str"/>
      <x:c r="G379" s="48" t="str"/>
      <x:c r="H379" s="2"/>
      <x:c r="I379" s="2"/>
      <x:c r="J379" s="2"/>
    </x:row>
    <x:row r="380" ht="22" customHeight="1">
      <x:c r="A380" s="48" t="str"/>
      <x:c r="B380" s="48" t="str"/>
      <x:c r="C380" s="48" t="str"/>
      <x:c r="D380" s="48" t="str">
        <x:v>SPP1</x:v>
      </x:c>
      <x:c r="E380" s="48" t="str"/>
      <x:c r="F380" s="48" t="str"/>
      <x:c r="G380" s="48" t="str"/>
      <x:c r="H380" s="2"/>
      <x:c r="I380" s="2"/>
      <x:c r="J380" s="2"/>
    </x:row>
    <x:row r="381" ht="22" customHeight="1">
      <x:c r="A381" s="48" t="str"/>
      <x:c r="B381" s="48" t="str"/>
      <x:c r="C381" s="48" t="str"/>
      <x:c r="D381" s="48" t="str">
        <x:v>SRC</x:v>
      </x:c>
      <x:c r="E381" s="48" t="str"/>
      <x:c r="F381" s="48" t="str"/>
      <x:c r="G381" s="48" t="str"/>
      <x:c r="H381" s="2"/>
      <x:c r="I381" s="2"/>
      <x:c r="J381" s="2"/>
    </x:row>
    <x:row r="382" ht="22" customHeight="1">
      <x:c r="A382" s="48" t="str"/>
      <x:c r="B382" s="48" t="str"/>
      <x:c r="C382" s="48" t="str"/>
      <x:c r="D382" s="48" t="str">
        <x:v>SSTR2</x:v>
      </x:c>
      <x:c r="E382" s="48" t="str"/>
      <x:c r="F382" s="48" t="str"/>
      <x:c r="G382" s="48" t="str"/>
      <x:c r="H382" s="2"/>
      <x:c r="I382" s="2"/>
      <x:c r="J382" s="2"/>
    </x:row>
    <x:row r="383" ht="22" customHeight="1">
      <x:c r="A383" s="48" t="str"/>
      <x:c r="B383" s="48" t="str"/>
      <x:c r="C383" s="48" t="str"/>
      <x:c r="D383" s="48" t="str">
        <x:v>ST7L</x:v>
      </x:c>
      <x:c r="E383" s="48" t="str"/>
      <x:c r="F383" s="48" t="str"/>
      <x:c r="G383" s="48" t="str"/>
      <x:c r="H383" s="2"/>
      <x:c r="I383" s="2"/>
      <x:c r="J383" s="2"/>
    </x:row>
    <x:row r="384" ht="22" customHeight="1">
      <x:c r="A384" s="48" t="str"/>
      <x:c r="B384" s="48" t="str"/>
      <x:c r="C384" s="48" t="str"/>
      <x:c r="D384" s="48" t="str">
        <x:v>STAT3</x:v>
      </x:c>
      <x:c r="E384" s="48" t="str"/>
      <x:c r="F384" s="48" t="str"/>
      <x:c r="G384" s="48" t="str"/>
      <x:c r="H384" s="2"/>
      <x:c r="I384" s="2"/>
      <x:c r="J384" s="2"/>
    </x:row>
    <x:row r="385" ht="22" customHeight="1">
      <x:c r="A385" s="48" t="str"/>
      <x:c r="B385" s="48" t="str"/>
      <x:c r="C385" s="48" t="str"/>
      <x:c r="D385" s="48" t="str">
        <x:v>TBXA2R</x:v>
      </x:c>
      <x:c r="E385" s="48" t="str"/>
      <x:c r="F385" s="48" t="str"/>
      <x:c r="G385" s="48" t="str"/>
      <x:c r="H385" s="2"/>
      <x:c r="I385" s="2"/>
      <x:c r="J385" s="2"/>
    </x:row>
    <x:row r="386" ht="22" customHeight="1">
      <x:c r="A386" s="48" t="str"/>
      <x:c r="B386" s="48" t="str"/>
      <x:c r="C386" s="48" t="str"/>
      <x:c r="D386" s="48" t="str">
        <x:v>TG</x:v>
      </x:c>
      <x:c r="E386" s="48" t="str"/>
      <x:c r="F386" s="48" t="str"/>
      <x:c r="G386" s="48" t="str"/>
      <x:c r="H386" s="2"/>
      <x:c r="I386" s="2"/>
      <x:c r="J386" s="2"/>
    </x:row>
    <x:row r="387" ht="22" customHeight="1">
      <x:c r="A387" s="48" t="str"/>
      <x:c r="B387" s="48" t="str"/>
      <x:c r="C387" s="48" t="str"/>
      <x:c r="D387" s="48" t="str">
        <x:v>TGFB2</x:v>
      </x:c>
      <x:c r="E387" s="48" t="str"/>
      <x:c r="F387" s="48" t="str"/>
      <x:c r="G387" s="48" t="str"/>
      <x:c r="H387" s="2"/>
      <x:c r="I387" s="2"/>
      <x:c r="J387" s="2"/>
    </x:row>
    <x:row r="388" ht="22" customHeight="1">
      <x:c r="A388" s="48" t="str"/>
      <x:c r="B388" s="48" t="str"/>
      <x:c r="C388" s="48" t="str"/>
      <x:c r="D388" s="48" t="str">
        <x:v>TGFB3</x:v>
      </x:c>
      <x:c r="E388" s="48" t="str"/>
      <x:c r="F388" s="48" t="str"/>
      <x:c r="G388" s="48" t="str"/>
      <x:c r="H388" s="2"/>
      <x:c r="I388" s="2"/>
      <x:c r="J388" s="2"/>
    </x:row>
    <x:row r="389" ht="22" customHeight="1">
      <x:c r="A389" s="48" t="str"/>
      <x:c r="B389" s="48" t="str"/>
      <x:c r="C389" s="48" t="str"/>
      <x:c r="D389" s="48" t="str">
        <x:v>TGFBR1</x:v>
      </x:c>
      <x:c r="E389" s="48" t="str"/>
      <x:c r="F389" s="48" t="str"/>
      <x:c r="G389" s="48" t="str"/>
      <x:c r="H389" s="2"/>
      <x:c r="I389" s="2"/>
      <x:c r="J389" s="2"/>
    </x:row>
    <x:row r="390" ht="22" customHeight="1">
      <x:c r="A390" s="48" t="str"/>
      <x:c r="B390" s="48" t="str"/>
      <x:c r="C390" s="48" t="str"/>
      <x:c r="D390" s="48" t="str">
        <x:v>TGFBR2</x:v>
      </x:c>
      <x:c r="E390" s="48" t="str"/>
      <x:c r="F390" s="48" t="str"/>
      <x:c r="G390" s="48" t="str"/>
      <x:c r="H390" s="2"/>
      <x:c r="I390" s="2"/>
      <x:c r="J390" s="2"/>
    </x:row>
    <x:row r="391" ht="22" customHeight="1">
      <x:c r="A391" s="48" t="str"/>
      <x:c r="B391" s="48" t="str"/>
      <x:c r="C391" s="48" t="str"/>
      <x:c r="D391" s="48" t="str">
        <x:v>THBD</x:v>
      </x:c>
      <x:c r="E391" s="48" t="str"/>
      <x:c r="F391" s="48" t="str"/>
      <x:c r="G391" s="48" t="str"/>
      <x:c r="H391" s="2"/>
      <x:c r="I391" s="2"/>
      <x:c r="J391" s="2"/>
    </x:row>
    <x:row r="392" ht="22" customHeight="1">
      <x:c r="A392" s="48" t="str"/>
      <x:c r="B392" s="48" t="str"/>
      <x:c r="C392" s="48" t="str"/>
      <x:c r="D392" s="48" t="str">
        <x:v>THBS1</x:v>
      </x:c>
      <x:c r="E392" s="48" t="str"/>
      <x:c r="F392" s="48" t="str"/>
      <x:c r="G392" s="48" t="str"/>
      <x:c r="H392" s="2"/>
      <x:c r="I392" s="2"/>
      <x:c r="J392" s="2"/>
    </x:row>
    <x:row r="393" ht="22" customHeight="1">
      <x:c r="A393" s="48" t="str"/>
      <x:c r="B393" s="48" t="str"/>
      <x:c r="C393" s="48" t="str"/>
      <x:c r="D393" s="48" t="str">
        <x:v>THSD4</x:v>
      </x:c>
      <x:c r="E393" s="48" t="str"/>
      <x:c r="F393" s="48" t="str"/>
      <x:c r="G393" s="48" t="str"/>
      <x:c r="H393" s="2"/>
      <x:c r="I393" s="2"/>
      <x:c r="J393" s="2"/>
    </x:row>
    <x:row r="394" ht="22" customHeight="1">
      <x:c r="A394" s="48" t="str"/>
      <x:c r="B394" s="48" t="str"/>
      <x:c r="C394" s="48" t="str"/>
      <x:c r="D394" s="48" t="str">
        <x:v>TIMD4</x:v>
      </x:c>
      <x:c r="E394" s="48" t="str"/>
      <x:c r="F394" s="48" t="str"/>
      <x:c r="G394" s="48" t="str"/>
      <x:c r="H394" s="2"/>
      <x:c r="I394" s="2"/>
      <x:c r="J394" s="2"/>
    </x:row>
    <x:row r="395" ht="22" customHeight="1">
      <x:c r="A395" s="48" t="str"/>
      <x:c r="B395" s="48" t="str"/>
      <x:c r="C395" s="48" t="str"/>
      <x:c r="D395" s="48" t="str">
        <x:v>TIMP1</x:v>
      </x:c>
      <x:c r="E395" s="48" t="str"/>
      <x:c r="F395" s="48" t="str"/>
      <x:c r="G395" s="48" t="str"/>
      <x:c r="H395" s="2"/>
      <x:c r="I395" s="2"/>
      <x:c r="J395" s="2"/>
    </x:row>
    <x:row r="396" ht="22" customHeight="1">
      <x:c r="A396" s="48" t="str"/>
      <x:c r="B396" s="48" t="str"/>
      <x:c r="C396" s="48" t="str"/>
      <x:c r="D396" s="48" t="str">
        <x:v>TJP1</x:v>
      </x:c>
      <x:c r="E396" s="48" t="str"/>
      <x:c r="F396" s="48" t="str"/>
      <x:c r="G396" s="48" t="str"/>
      <x:c r="H396" s="2"/>
      <x:c r="I396" s="2"/>
      <x:c r="J396" s="2"/>
    </x:row>
    <x:row r="397" ht="22" customHeight="1">
      <x:c r="A397" s="48" t="str"/>
      <x:c r="B397" s="48" t="str"/>
      <x:c r="C397" s="48" t="str"/>
      <x:c r="D397" s="48" t="str">
        <x:v>TLK1</x:v>
      </x:c>
      <x:c r="E397" s="48" t="str"/>
      <x:c r="F397" s="48" t="str"/>
      <x:c r="G397" s="48" t="str"/>
      <x:c r="H397" s="2"/>
      <x:c r="I397" s="2"/>
      <x:c r="J397" s="2"/>
    </x:row>
    <x:row r="398" ht="22" customHeight="1">
      <x:c r="A398" s="48" t="str"/>
      <x:c r="B398" s="48" t="str"/>
      <x:c r="C398" s="48" t="str"/>
      <x:c r="D398" s="48" t="str">
        <x:v>TLR2</x:v>
      </x:c>
      <x:c r="E398" s="48" t="str"/>
      <x:c r="F398" s="48" t="str"/>
      <x:c r="G398" s="48" t="str"/>
      <x:c r="H398" s="2"/>
      <x:c r="I398" s="2"/>
      <x:c r="J398" s="2"/>
    </x:row>
    <x:row r="399" ht="22" customHeight="1">
      <x:c r="A399" s="48" t="str"/>
      <x:c r="B399" s="48" t="str"/>
      <x:c r="C399" s="48" t="str"/>
      <x:c r="D399" s="48" t="str">
        <x:v>TLR3</x:v>
      </x:c>
      <x:c r="E399" s="48" t="str"/>
      <x:c r="F399" s="48" t="str"/>
      <x:c r="G399" s="48" t="str"/>
      <x:c r="H399" s="2"/>
      <x:c r="I399" s="2"/>
      <x:c r="J399" s="2"/>
    </x:row>
    <x:row r="400" ht="22" customHeight="1">
      <x:c r="A400" s="48" t="str"/>
      <x:c r="B400" s="48" t="str"/>
      <x:c r="C400" s="48" t="str"/>
      <x:c r="D400" s="48" t="str">
        <x:v>TLR4</x:v>
      </x:c>
      <x:c r="E400" s="48" t="str"/>
      <x:c r="F400" s="48" t="str"/>
      <x:c r="G400" s="48" t="str"/>
      <x:c r="H400" s="2"/>
      <x:c r="I400" s="2"/>
      <x:c r="J400" s="2"/>
    </x:row>
    <x:row r="401" ht="22" customHeight="1">
      <x:c r="A401" s="48" t="str"/>
      <x:c r="B401" s="48" t="str"/>
      <x:c r="C401" s="48" t="str"/>
      <x:c r="D401" s="48" t="str">
        <x:v>TLR7</x:v>
      </x:c>
      <x:c r="E401" s="48" t="str"/>
      <x:c r="F401" s="48" t="str"/>
      <x:c r="G401" s="48" t="str"/>
      <x:c r="H401" s="2"/>
      <x:c r="I401" s="2"/>
      <x:c r="J401" s="2"/>
    </x:row>
    <x:row r="402" ht="22" customHeight="1">
      <x:c r="A402" s="48" t="str"/>
      <x:c r="B402" s="48" t="str"/>
      <x:c r="C402" s="48" t="str"/>
      <x:c r="D402" s="48" t="str">
        <x:v>TLR8</x:v>
      </x:c>
      <x:c r="E402" s="48" t="str"/>
      <x:c r="F402" s="48" t="str"/>
      <x:c r="G402" s="48" t="str"/>
      <x:c r="H402" s="2"/>
      <x:c r="I402" s="2"/>
      <x:c r="J402" s="2"/>
    </x:row>
    <x:row r="403" ht="22" customHeight="1">
      <x:c r="A403" s="48" t="str"/>
      <x:c r="B403" s="48" t="str"/>
      <x:c r="C403" s="48" t="str"/>
      <x:c r="D403" s="48" t="str">
        <x:v>TLR9</x:v>
      </x:c>
      <x:c r="E403" s="48" t="str"/>
      <x:c r="F403" s="48" t="str"/>
      <x:c r="G403" s="48" t="str"/>
      <x:c r="H403" s="2"/>
      <x:c r="I403" s="2"/>
      <x:c r="J403" s="2"/>
    </x:row>
    <x:row r="404" ht="22" customHeight="1">
      <x:c r="A404" s="48" t="str"/>
      <x:c r="B404" s="48" t="str"/>
      <x:c r="C404" s="48" t="str"/>
      <x:c r="D404" s="48" t="str">
        <x:v>TNF</x:v>
      </x:c>
      <x:c r="E404" s="48" t="str"/>
      <x:c r="F404" s="48" t="str"/>
      <x:c r="G404" s="48" t="str"/>
      <x:c r="H404" s="2"/>
      <x:c r="I404" s="2"/>
      <x:c r="J404" s="2"/>
    </x:row>
    <x:row r="405" ht="22" customHeight="1">
      <x:c r="A405" s="48" t="str"/>
      <x:c r="B405" s="48" t="str"/>
      <x:c r="C405" s="48" t="str"/>
      <x:c r="D405" s="48" t="str">
        <x:v>TNFAIP6</x:v>
      </x:c>
      <x:c r="E405" s="48" t="str"/>
      <x:c r="F405" s="48" t="str"/>
      <x:c r="G405" s="48" t="str"/>
      <x:c r="H405" s="2"/>
      <x:c r="I405" s="2"/>
      <x:c r="J405" s="2"/>
    </x:row>
    <x:row r="406" ht="22" customHeight="1">
      <x:c r="A406" s="48" t="str"/>
      <x:c r="B406" s="48" t="str"/>
      <x:c r="C406" s="48" t="str"/>
      <x:c r="D406" s="48" t="str">
        <x:v>TNFAIP8L2</x:v>
      </x:c>
      <x:c r="E406" s="48" t="str"/>
      <x:c r="F406" s="48" t="str"/>
      <x:c r="G406" s="48" t="str"/>
      <x:c r="H406" s="2"/>
      <x:c r="I406" s="2"/>
      <x:c r="J406" s="2"/>
    </x:row>
    <x:row r="407" ht="22" customHeight="1">
      <x:c r="A407" s="48" t="str"/>
      <x:c r="B407" s="48" t="str"/>
      <x:c r="C407" s="48" t="str"/>
      <x:c r="D407" s="48" t="str">
        <x:v>TNFRSF11B</x:v>
      </x:c>
      <x:c r="E407" s="48" t="str"/>
      <x:c r="F407" s="48" t="str"/>
      <x:c r="G407" s="48" t="str"/>
      <x:c r="H407" s="2"/>
      <x:c r="I407" s="2"/>
      <x:c r="J407" s="2"/>
    </x:row>
    <x:row r="408" ht="22" customHeight="1">
      <x:c r="A408" s="48" t="str"/>
      <x:c r="B408" s="48" t="str"/>
      <x:c r="C408" s="48" t="str"/>
      <x:c r="D408" s="48" t="str">
        <x:v>TNFRSF12A</x:v>
      </x:c>
      <x:c r="E408" s="48" t="str"/>
      <x:c r="F408" s="48" t="str"/>
      <x:c r="G408" s="48" t="str"/>
      <x:c r="H408" s="2"/>
      <x:c r="I408" s="2"/>
      <x:c r="J408" s="2"/>
    </x:row>
    <x:row r="409" ht="22" customHeight="1">
      <x:c r="A409" s="48" t="str"/>
      <x:c r="B409" s="48" t="str"/>
      <x:c r="C409" s="48" t="str"/>
      <x:c r="D409" s="48" t="str">
        <x:v>TNFSF10</x:v>
      </x:c>
      <x:c r="E409" s="48" t="str"/>
      <x:c r="F409" s="48" t="str"/>
      <x:c r="G409" s="48" t="str"/>
      <x:c r="H409" s="2"/>
      <x:c r="I409" s="2"/>
      <x:c r="J409" s="2"/>
    </x:row>
    <x:row r="410" ht="22" customHeight="1">
      <x:c r="A410" s="48" t="str"/>
      <x:c r="B410" s="48" t="str"/>
      <x:c r="C410" s="48" t="str"/>
      <x:c r="D410" s="48" t="str">
        <x:v>TNFSF11</x:v>
      </x:c>
      <x:c r="E410" s="48" t="str"/>
      <x:c r="F410" s="48" t="str"/>
      <x:c r="G410" s="48" t="str"/>
      <x:c r="H410" s="2"/>
      <x:c r="I410" s="2"/>
      <x:c r="J410" s="2"/>
    </x:row>
    <x:row r="411" ht="22" customHeight="1">
      <x:c r="A411" s="48" t="str"/>
      <x:c r="B411" s="48" t="str"/>
      <x:c r="C411" s="48" t="str"/>
      <x:c r="D411" s="48" t="str">
        <x:v>TNNI3</x:v>
      </x:c>
      <x:c r="E411" s="48" t="str"/>
      <x:c r="F411" s="48" t="str"/>
      <x:c r="G411" s="48" t="str"/>
      <x:c r="H411" s="2"/>
      <x:c r="I411" s="2"/>
      <x:c r="J411" s="2"/>
    </x:row>
    <x:row r="412" ht="22" customHeight="1">
      <x:c r="A412" s="48" t="str"/>
      <x:c r="B412" s="48" t="str"/>
      <x:c r="C412" s="48" t="str"/>
      <x:c r="D412" s="48" t="str">
        <x:v>TNNT2</x:v>
      </x:c>
      <x:c r="E412" s="48" t="str"/>
      <x:c r="F412" s="48" t="str"/>
      <x:c r="G412" s="48" t="str"/>
      <x:c r="H412" s="2"/>
      <x:c r="I412" s="2"/>
      <x:c r="J412" s="2"/>
    </x:row>
    <x:row r="413" ht="22" customHeight="1">
      <x:c r="A413" s="48" t="str"/>
      <x:c r="B413" s="48" t="str"/>
      <x:c r="C413" s="48" t="str"/>
      <x:c r="D413" s="48" t="str">
        <x:v>TP53</x:v>
      </x:c>
      <x:c r="E413" s="48" t="str"/>
      <x:c r="F413" s="48" t="str"/>
      <x:c r="G413" s="48" t="str"/>
      <x:c r="H413" s="2"/>
      <x:c r="I413" s="2"/>
      <x:c r="J413" s="2"/>
    </x:row>
    <x:row r="414" ht="22" customHeight="1">
      <x:c r="A414" s="48" t="str"/>
      <x:c r="B414" s="48" t="str"/>
      <x:c r="C414" s="48" t="str"/>
      <x:c r="D414" s="48" t="str">
        <x:v>TPO</x:v>
      </x:c>
      <x:c r="E414" s="48" t="str"/>
      <x:c r="F414" s="48" t="str"/>
      <x:c r="G414" s="48" t="str"/>
      <x:c r="H414" s="2"/>
      <x:c r="I414" s="2"/>
      <x:c r="J414" s="2"/>
    </x:row>
    <x:row r="415" ht="22" customHeight="1">
      <x:c r="A415" s="48" t="str"/>
      <x:c r="B415" s="48" t="str"/>
      <x:c r="C415" s="48" t="str"/>
      <x:c r="D415" s="48" t="str">
        <x:v>TRAF3</x:v>
      </x:c>
      <x:c r="E415" s="48" t="str"/>
      <x:c r="F415" s="48" t="str"/>
      <x:c r="G415" s="48" t="str"/>
      <x:c r="H415" s="2"/>
      <x:c r="I415" s="2"/>
      <x:c r="J415" s="2"/>
    </x:row>
    <x:row r="416" ht="22" customHeight="1">
      <x:c r="A416" s="48" t="str"/>
      <x:c r="B416" s="48" t="str"/>
      <x:c r="C416" s="48" t="str"/>
      <x:c r="D416" s="48" t="str">
        <x:v>TREM1</x:v>
      </x:c>
      <x:c r="E416" s="48" t="str"/>
      <x:c r="F416" s="48" t="str"/>
      <x:c r="G416" s="48" t="str"/>
      <x:c r="H416" s="2"/>
      <x:c r="I416" s="2"/>
      <x:c r="J416" s="2"/>
    </x:row>
    <x:row r="417" ht="22" customHeight="1">
      <x:c r="A417" s="48" t="str"/>
      <x:c r="B417" s="48" t="str"/>
      <x:c r="C417" s="48" t="str"/>
      <x:c r="D417" s="48" t="str">
        <x:v>TREM2</x:v>
      </x:c>
      <x:c r="E417" s="48" t="str"/>
      <x:c r="F417" s="48" t="str"/>
      <x:c r="G417" s="48" t="str"/>
      <x:c r="H417" s="2"/>
      <x:c r="I417" s="2"/>
      <x:c r="J417" s="2"/>
    </x:row>
    <x:row r="418" ht="22" customHeight="1">
      <x:c r="A418" s="48" t="str"/>
      <x:c r="B418" s="48" t="str"/>
      <x:c r="C418" s="48" t="str"/>
      <x:c r="D418" s="48" t="str">
        <x:v>TREML1</x:v>
      </x:c>
      <x:c r="E418" s="48" t="str"/>
      <x:c r="F418" s="48" t="str"/>
      <x:c r="G418" s="48" t="str"/>
      <x:c r="H418" s="2"/>
      <x:c r="I418" s="2"/>
      <x:c r="J418" s="2"/>
    </x:row>
    <x:row r="419" ht="22" customHeight="1">
      <x:c r="A419" s="48" t="str"/>
      <x:c r="B419" s="48" t="str"/>
      <x:c r="C419" s="48" t="str"/>
      <x:c r="D419" s="48" t="str">
        <x:v>TREX1</x:v>
      </x:c>
      <x:c r="E419" s="48" t="str"/>
      <x:c r="F419" s="48" t="str"/>
      <x:c r="G419" s="48" t="str"/>
      <x:c r="H419" s="2"/>
      <x:c r="I419" s="2"/>
      <x:c r="J419" s="2"/>
    </x:row>
    <x:row r="420" ht="22" customHeight="1">
      <x:c r="A420" s="48" t="str"/>
      <x:c r="B420" s="48" t="str"/>
      <x:c r="C420" s="48" t="str"/>
      <x:c r="D420" s="48" t="str">
        <x:v>TRPM2</x:v>
      </x:c>
      <x:c r="E420" s="48" t="str"/>
      <x:c r="F420" s="48" t="str"/>
      <x:c r="G420" s="48" t="str"/>
      <x:c r="H420" s="2"/>
      <x:c r="I420" s="2"/>
      <x:c r="J420" s="2"/>
    </x:row>
    <x:row r="421" ht="22" customHeight="1">
      <x:c r="A421" s="48" t="str"/>
      <x:c r="B421" s="48" t="str"/>
      <x:c r="C421" s="48" t="str"/>
      <x:c r="D421" s="48" t="str">
        <x:v>TRPM4</x:v>
      </x:c>
      <x:c r="E421" s="48" t="str"/>
      <x:c r="F421" s="48" t="str"/>
      <x:c r="G421" s="48" t="str"/>
      <x:c r="H421" s="2"/>
      <x:c r="I421" s="2"/>
      <x:c r="J421" s="2"/>
    </x:row>
    <x:row r="422" ht="22" customHeight="1">
      <x:c r="A422" s="48" t="str"/>
      <x:c r="B422" s="48" t="str"/>
      <x:c r="C422" s="48" t="str"/>
      <x:c r="D422" s="48" t="str">
        <x:v>TRPM7</x:v>
      </x:c>
      <x:c r="E422" s="48" t="str"/>
      <x:c r="F422" s="48" t="str"/>
      <x:c r="G422" s="48" t="str"/>
      <x:c r="H422" s="2"/>
      <x:c r="I422" s="2"/>
      <x:c r="J422" s="2"/>
    </x:row>
    <x:row r="423" ht="22" customHeight="1">
      <x:c r="A423" s="48" t="str"/>
      <x:c r="B423" s="48" t="str"/>
      <x:c r="C423" s="48" t="str"/>
      <x:c r="D423" s="48" t="str">
        <x:v>TSPAN33</x:v>
      </x:c>
      <x:c r="E423" s="48" t="str"/>
      <x:c r="F423" s="48" t="str"/>
      <x:c r="G423" s="48" t="str"/>
      <x:c r="H423" s="2"/>
      <x:c r="I423" s="2"/>
      <x:c r="J423" s="2"/>
    </x:row>
    <x:row r="424" ht="22" customHeight="1">
      <x:c r="A424" s="48" t="str"/>
      <x:c r="B424" s="48" t="str"/>
      <x:c r="C424" s="48" t="str"/>
      <x:c r="D424" s="48" t="str">
        <x:v>TSPO</x:v>
      </x:c>
      <x:c r="E424" s="48" t="str"/>
      <x:c r="F424" s="48" t="str"/>
      <x:c r="G424" s="48" t="str"/>
      <x:c r="H424" s="2"/>
      <x:c r="I424" s="2"/>
      <x:c r="J424" s="2"/>
    </x:row>
    <x:row r="425" ht="22" customHeight="1">
      <x:c r="A425" s="48" t="str"/>
      <x:c r="B425" s="48" t="str"/>
      <x:c r="C425" s="48" t="str"/>
      <x:c r="D425" s="48" t="str">
        <x:v>TUG1</x:v>
      </x:c>
      <x:c r="E425" s="48" t="str"/>
      <x:c r="F425" s="48" t="str"/>
      <x:c r="G425" s="48" t="str"/>
      <x:c r="H425" s="2"/>
      <x:c r="I425" s="2"/>
      <x:c r="J425" s="2"/>
    </x:row>
    <x:row r="426" ht="22" customHeight="1">
      <x:c r="A426" s="48" t="str"/>
      <x:c r="B426" s="48" t="str"/>
      <x:c r="C426" s="48" t="str"/>
      <x:c r="D426" s="48" t="str">
        <x:v>TXN</x:v>
      </x:c>
      <x:c r="E426" s="48" t="str"/>
      <x:c r="F426" s="48" t="str"/>
      <x:c r="G426" s="48" t="str"/>
      <x:c r="H426" s="2"/>
      <x:c r="I426" s="2"/>
      <x:c r="J426" s="2"/>
    </x:row>
    <x:row r="427" ht="22" customHeight="1">
      <x:c r="A427" s="48" t="str"/>
      <x:c r="B427" s="48" t="str"/>
      <x:c r="C427" s="48" t="str"/>
      <x:c r="D427" s="48" t="str">
        <x:v>VCAM1</x:v>
      </x:c>
      <x:c r="E427" s="48" t="str"/>
      <x:c r="F427" s="48" t="str"/>
      <x:c r="G427" s="48" t="str"/>
      <x:c r="H427" s="2"/>
      <x:c r="I427" s="2"/>
      <x:c r="J427" s="2"/>
    </x:row>
    <x:row r="428" ht="22" customHeight="1">
      <x:c r="A428" s="48" t="str"/>
      <x:c r="B428" s="48" t="str"/>
      <x:c r="C428" s="48" t="str"/>
      <x:c r="D428" s="48" t="str">
        <x:v>VEGFA</x:v>
      </x:c>
      <x:c r="E428" s="48" t="str"/>
      <x:c r="F428" s="48" t="str"/>
      <x:c r="G428" s="48" t="str"/>
      <x:c r="H428" s="2"/>
      <x:c r="I428" s="2"/>
      <x:c r="J428" s="2"/>
    </x:row>
    <x:row r="429" ht="22" customHeight="1">
      <x:c r="A429" s="48" t="str"/>
      <x:c r="B429" s="48" t="str"/>
      <x:c r="C429" s="48" t="str"/>
      <x:c r="D429" s="48" t="str">
        <x:v>VEZF1</x:v>
      </x:c>
      <x:c r="E429" s="48" t="str"/>
      <x:c r="F429" s="48" t="str"/>
      <x:c r="G429" s="48" t="str"/>
      <x:c r="H429" s="2"/>
      <x:c r="I429" s="2"/>
      <x:c r="J429" s="2"/>
    </x:row>
    <x:row r="430" ht="22" customHeight="1">
      <x:c r="A430" s="48" t="str"/>
      <x:c r="B430" s="48" t="str"/>
      <x:c r="C430" s="48" t="str"/>
      <x:c r="D430" s="48" t="str">
        <x:v>VKORC1</x:v>
      </x:c>
      <x:c r="E430" s="48" t="str"/>
      <x:c r="F430" s="48" t="str"/>
      <x:c r="G430" s="48" t="str"/>
      <x:c r="H430" s="2"/>
      <x:c r="I430" s="2"/>
      <x:c r="J430" s="2"/>
    </x:row>
    <x:row r="431" ht="22" customHeight="1">
      <x:c r="A431" s="48" t="str"/>
      <x:c r="B431" s="48" t="str"/>
      <x:c r="C431" s="48" t="str"/>
      <x:c r="D431" s="48" t="str">
        <x:v>VSNL1</x:v>
      </x:c>
      <x:c r="E431" s="48" t="str"/>
      <x:c r="F431" s="48" t="str"/>
      <x:c r="G431" s="48" t="str"/>
      <x:c r="H431" s="2"/>
      <x:c r="I431" s="2"/>
      <x:c r="J431" s="2"/>
    </x:row>
    <x:row r="432" ht="22" customHeight="1">
      <x:c r="A432" s="48" t="str"/>
      <x:c r="B432" s="48" t="str"/>
      <x:c r="C432" s="48" t="str"/>
      <x:c r="D432" s="48" t="str">
        <x:v>VWF</x:v>
      </x:c>
      <x:c r="E432" s="48" t="str"/>
      <x:c r="F432" s="48" t="str"/>
      <x:c r="G432" s="48" t="str"/>
      <x:c r="H432" s="2"/>
      <x:c r="I432" s="2"/>
      <x:c r="J432" s="2"/>
    </x:row>
    <x:row r="433" ht="22" customHeight="1">
      <x:c r="A433" s="48" t="str"/>
      <x:c r="B433" s="48" t="str"/>
      <x:c r="C433" s="48" t="str"/>
      <x:c r="D433" s="48" t="str">
        <x:v>XDH</x:v>
      </x:c>
      <x:c r="E433" s="48" t="str"/>
      <x:c r="F433" s="48" t="str"/>
      <x:c r="G433" s="48" t="str"/>
      <x:c r="H433" s="2"/>
      <x:c r="I433" s="2"/>
      <x:c r="J433" s="2"/>
    </x:row>
    <x:row r="434" ht="22" customHeight="1">
      <x:c r="A434" s="48" t="str"/>
      <x:c r="B434" s="48" t="str"/>
      <x:c r="C434" s="48" t="str"/>
      <x:c r="D434" s="48" t="str">
        <x:v>XPR1</x:v>
      </x:c>
      <x:c r="E434" s="48" t="str"/>
      <x:c r="F434" s="48" t="str"/>
      <x:c r="G434" s="48" t="str"/>
      <x:c r="H434" s="2"/>
      <x:c r="I434" s="2"/>
      <x:c r="J434" s="2"/>
    </x:row>
    <x:row r="435" ht="22" customHeight="1">
      <x:c r="A435" s="49" t="str"/>
      <x:c r="B435" s="49" t="str"/>
      <x:c r="C435" s="49" t="str"/>
      <x:c r="D435" s="49" t="str">
        <x:v>ZEB1</x:v>
      </x:c>
      <x:c r="E435" s="49" t="str"/>
      <x:c r="F435" s="49" t="str"/>
      <x:c r="G435" s="49" t="str"/>
      <x:c r="H435" s="2"/>
      <x:c r="I435" s="2"/>
      <x:c r="J435" s="2"/>
    </x:row>
  </x:sheetData>
  <x:mergeCells>
    <x:mergeCell ref="A1:J1"/>
    <x:mergeCell ref="A2:J2"/>
  </x:mergeCells>
  <x:conditionalFormatting sqref="I5:I5">
    <x:cfRule type="containsText" dxfId="18" priority="1" operator="containsText" text="PASS"/>
    <x:cfRule type="containsText" dxfId="19" priority="2" operator="containsText" text="FAIL"/>
  </x:conditionalFormatting>
  <x:conditionalFormatting sqref="B6:B176">
    <x:cfRule type="cellIs" dxfId="20" priority="3" operator="equal">
      <x:formula>TRUE</x:formula>
    </x:cfRule>
  </x:conditionalFormatting>
  <x:conditionalFormatting sqref="F6:F21">
    <x:cfRule type="cellIs" dxfId="21" priority="4" operator="equal">
      <x:formula>TRUE</x:formula>
    </x:cfRule>
  </x:conditionalFormatting>
  <x:conditionalFormatting sqref="G6:G21">
    <x:cfRule type="containsText" dxfId="22" priority="5" operator="containsText" text="PASS"/>
    <x:cfRule type="containsText" dxfId="23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c88645ce80747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8" hidden="0" customWidth="1"/>
    <x:col min="4" max="4" width="38" hidden="0" customWidth="1"/>
    <x:col min="5" max="5" width="22" hidden="0" customWidth="1"/>
    <x:col min="6" max="6" width="22" hidden="0" customWidth="1"/>
    <x:col min="7" max="7" width="29" hidden="0" customWidth="1"/>
    <x:col min="8" max="8" width="24" hidden="0" customWidth="1"/>
    <x:col min="9" max="9" width="42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3" hidden="0" customWidth="1"/>
    <x:col min="16" max="16" width="34" hidden="0" customWidth="1"/>
    <x:col min="17" max="17" width="13" hidden="0" customWidth="1"/>
    <x:col min="18" max="18" width="34" hidden="0" customWidth="1"/>
    <x:col min="19" max="19" width="13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3" hidden="0" customWidth="1"/>
    <x:col min="42" max="42" width="54" hidden="0" customWidth="1"/>
    <x:col min="43" max="43" width="54" hidden="0" customWidth="1"/>
    <x:col min="44" max="44" width="23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34" hidden="0" customWidth="1"/>
    <x:col min="50" max="50" width="13" hidden="0" customWidth="1"/>
    <x:col min="51" max="51" width="34" hidden="0" customWidth="1"/>
    <x:col min="52" max="52" width="13" hidden="0" customWidth="1"/>
    <x:col min="53" max="53" width="34" hidden="0" customWidth="1"/>
    <x:col min="54" max="54" width="13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7" hidden="0" customWidth="1"/>
    <x:col min="65" max="65" width="17" hidden="0" customWidth="1"/>
    <x:col min="66" max="66" width="22" hidden="0" customWidth="1"/>
    <x:col min="67" max="67" width="22" hidden="0" customWidth="1"/>
    <x:col min="68" max="68" width="34" hidden="0" customWidth="1"/>
    <x:col min="69" max="69" width="34" hidden="0" customWidth="1"/>
    <x:col min="70" max="70" width="17" hidden="0" customWidth="1"/>
    <x:col min="71" max="71" width="17" hidden="0" customWidth="1"/>
    <x:col min="72" max="72" width="13" hidden="0" customWidth="1"/>
    <x:col min="73" max="73" width="54" hidden="0" customWidth="1"/>
    <x:col min="74" max="74" width="54" hidden="0" customWidth="1"/>
    <x:col min="75" max="75" width="54" hidden="0" customWidth="1"/>
  </x:cols>
  <x:sheetData>
    <x:row r="1" ht="34" customHeight="1">
      <x:c r="A1" s="44" t="str">
        <x:v>Gene_Symbol</x:v>
      </x:c>
      <x:c r="B1" s="45" t="str">
        <x:v>UniProt_Accessions</x:v>
      </x:c>
      <x:c r="C1" s="45" t="str">
        <x:v>Drug_Target_Names</x:v>
      </x:c>
      <x:c r="D1" s="45" t="str">
        <x:v>Disease_Gene_Name</x:v>
      </x:c>
      <x:c r="E1" s="45" t="str">
        <x:v>Entrez_Gene_ID</x:v>
      </x:c>
      <x:c r="F1" s="45" t="str">
        <x:v>Ensembl_Gene_ID</x:v>
      </x:c>
      <x:c r="G1" s="45" t="str">
        <x:v>ID_Completeness_Flag</x:v>
      </x:c>
      <x:c r="H1" s="45" t="str">
        <x:v>First_Entry_Level</x:v>
      </x:c>
      <x:c r="I1" s="45" t="str">
        <x:v>Analysis_Role</x:v>
      </x:c>
      <x:c r="J1" s="45" t="str">
        <x:v>Core_Anchor</x:v>
      </x:c>
      <x:c r="K1" s="45" t="str">
        <x:v>In_L1_Strict_1</x:v>
      </x:c>
      <x:c r="L1" s="45" t="str">
        <x:v>In_L2_Primary_2</x:v>
      </x:c>
      <x:c r="M1" s="45" t="str">
        <x:v>In_L3_Medium_6</x:v>
      </x:c>
      <x:c r="N1" s="45" t="str">
        <x:v>In_L4_Exploratory_16</x:v>
      </x:c>
      <x:c r="O1" s="45" t="str">
        <x:v>Drug_Evidence_Tier</x:v>
      </x:c>
      <x:c r="P1" s="45" t="str">
        <x:v>Drug_Source_Databases</x:v>
      </x:c>
      <x:c r="Q1" s="45" t="str">
        <x:v>Drug_Source_Count</x:v>
      </x:c>
      <x:c r="R1" s="45" t="str">
        <x:v>Drug_Source_Databases_Excluding_COMET</x:v>
      </x:c>
      <x:c r="S1" s="45" t="str">
        <x:v>Drug_Source_Count_Excluding_COMET</x:v>
      </x:c>
      <x:c r="T1" s="45" t="str">
        <x:v>Drug_CrossSupport_Excluding_COMET</x:v>
      </x:c>
      <x:c r="U1" s="45" t="str">
        <x:v>Drug_In_Strict_25</x:v>
      </x:c>
      <x:c r="V1" s="45" t="str">
        <x:v>Drug_In_CrossPriority_22</x:v>
      </x:c>
      <x:c r="W1" s="45" t="str">
        <x:v>Drug_In_Recommended_42</x:v>
      </x:c>
      <x:c r="X1" s="45" t="str">
        <x:v>Drug_In_Extended_171</x:v>
      </x:c>
      <x:c r="Y1" s="45" t="str">
        <x:v>SwissTargetPrediction</x:v>
      </x:c>
      <x:c r="Z1" s="45" t="str">
        <x:v>SuperPred</x:v>
      </x:c>
      <x:c r="AA1" s="45" t="str">
        <x:v>PharmMapper</x:v>
      </x:c>
      <x:c r="AB1" s="45" t="str">
        <x:v>PPB3</x:v>
      </x:c>
      <x:c r="AC1" s="45" t="str">
        <x:v>COMET</x:v>
      </x:c>
      <x:c r="AD1" s="45" t="str">
        <x:v>PASSTargets</x:v>
      </x:c>
      <x:c r="AE1" s="45" t="str">
        <x:v>NetInfer</x:v>
      </x:c>
      <x:c r="AF1" s="45" t="str">
        <x:v>Swiss_Probability</x:v>
      </x:c>
      <x:c r="AG1" s="45" t="str">
        <x:v>SuperPred_Probability</x:v>
      </x:c>
      <x:c r="AH1" s="45" t="str">
        <x:v>SuperPred_Model_Accuracy</x:v>
      </x:c>
      <x:c r="AI1" s="45" t="str">
        <x:v>PharmMapper_Best_Norm_Fit</x:v>
      </x:c>
      <x:c r="AJ1" s="45" t="str">
        <x:v>PharmMapper_Max_zscore</x:v>
      </x:c>
      <x:c r="AK1" s="45" t="str">
        <x:v>PPB3_Confidence_Score</x:v>
      </x:c>
      <x:c r="AL1" s="45" t="str">
        <x:v>COMET_Probability</x:v>
      </x:c>
      <x:c r="AM1" s="45" t="str">
        <x:v>PASSTargets_Max_Activity_Score</x:v>
      </x:c>
      <x:c r="AN1" s="45" t="str">
        <x:v>NetInfer_Score</x:v>
      </x:c>
      <x:c r="AO1" s="45" t="str">
        <x:v>NetInfer_Rank</x:v>
      </x:c>
      <x:c r="AP1" s="45" t="str">
        <x:v>Drug_Inclusion_Reason</x:v>
      </x:c>
      <x:c r="AQ1" s="45" t="str">
        <x:v>Drug_Interpretation_Note</x:v>
      </x:c>
      <x:c r="AR1" s="45" t="str">
        <x:v>Disease_Evidence_Tier</x:v>
      </x:c>
      <x:c r="AS1" s="45" t="str">
        <x:v>AIS_In_Strict_28</x:v>
      </x:c>
      <x:c r="AT1" s="45" t="str">
        <x:v>AIS_In_Primary_81</x:v>
      </x:c>
      <x:c r="AU1" s="45" t="str">
        <x:v>AIS_In_MediumExtended_176</x:v>
      </x:c>
      <x:c r="AV1" s="45" t="str">
        <x:v>AIS_In_BroadSensitivity_430</x:v>
      </x:c>
      <x:c r="AW1" s="45" t="str">
        <x:v>Disease_Primary_Source_Databases</x:v>
      </x:c>
      <x:c r="AX1" s="45" t="str">
        <x:v>Disease_Primary_Source_Count</x:v>
      </x:c>
      <x:c r="AY1" s="45" t="str">
        <x:v>Disease_Medium_Source_Databases</x:v>
      </x:c>
      <x:c r="AZ1" s="45" t="str">
        <x:v>Disease_Medium_Source_Count</x:v>
      </x:c>
      <x:c r="BA1" s="45" t="str">
        <x:v>Disease_Broad_Source_Databases</x:v>
      </x:c>
      <x:c r="BB1" s="45" t="str">
        <x:v>Disease_Broad_Source_Count</x:v>
      </x:c>
      <x:c r="BC1" s="45" t="str">
        <x:v>GeneCards_Strict_ge5</x:v>
      </x:c>
      <x:c r="BD1" s="45" t="str">
        <x:v>GeneCards_Main_ge3</x:v>
      </x:c>
      <x:c r="BE1" s="45" t="str">
        <x:v>GeneCards_Broad_ge0.9</x:v>
      </x:c>
      <x:c r="BF1" s="45" t="str">
        <x:v>OMIM_UltraStrict</x:v>
      </x:c>
      <x:c r="BG1" s="45" t="str">
        <x:v>OMIM_Primary</x:v>
      </x:c>
      <x:c r="BH1" s="45" t="str">
        <x:v>OMIM_PrimaryPlusExtended</x:v>
      </x:c>
      <x:c r="BI1" s="45" t="str">
        <x:v>DisGeNET_Primary_raw_ge0.30</x:v>
      </x:c>
      <x:c r="BJ1" s="45" t="str">
        <x:v>DisGeNET_Conservative_EI_ge0.80</x:v>
      </x:c>
      <x:c r="BK1" s="45" t="str">
        <x:v>DisGeNET_HumanLiterature</x:v>
      </x:c>
      <x:c r="BL1" s="45" t="str">
        <x:v>GeneCards_Relevance_Score</x:v>
      </x:c>
      <x:c r="BM1" s="45" t="str">
        <x:v>GeneCards_Knowledge_Score</x:v>
      </x:c>
      <x:c r="BN1" s="45" t="str">
        <x:v>OMIM_Gene_MIM_ID</x:v>
      </x:c>
      <x:c r="BO1" s="45" t="str">
        <x:v>OMIM_Phenotype_MIM_IDs</x:v>
      </x:c>
      <x:c r="BP1" s="45" t="str">
        <x:v>OMIM_Evidence_Layers</x:v>
      </x:c>
      <x:c r="BQ1" s="45" t="str">
        <x:v>OMIM_Mechanism_Tags</x:v>
      </x:c>
      <x:c r="BR1" s="45" t="str">
        <x:v>DisGeNET_Raw_GDA_Score</x:v>
      </x:c>
      <x:c r="BS1" s="45" t="str">
        <x:v>DisGeNET_EI</x:v>
      </x:c>
      <x:c r="BT1" s="45" t="str">
        <x:v>DisGeNET_N_PMIDs</x:v>
      </x:c>
      <x:c r="BU1" s="45" t="str">
        <x:v>AIS_Interpretation_Note</x:v>
      </x:c>
      <x:c r="BV1" s="45" t="str">
        <x:v>Evidence_Summary</x:v>
      </x:c>
      <x:c r="BW1" s="46" t="str">
        <x:v>Interpretation_Note</x:v>
      </x:c>
    </x:row>
    <x:row r="2" ht="23" customHeight="1">
      <x:c r="A2" s="106" t="str">
        <x:v>CTNNB1</x:v>
      </x:c>
      <x:c r="B2" s="106" t="str">
        <x:v>P35222</x:v>
      </x:c>
      <x:c r="C2" s="106" t="str">
        <x:v>Catenin beta-1</x:v>
      </x:c>
      <x:c r="D2" s="106" t="str">
        <x:v>Catenin Beta 1</x:v>
      </x:c>
      <x:c r="E2" s="106" t="str"/>
      <x:c r="F2" s="106" t="str"/>
      <x:c r="G2" s="106" t="str">
        <x:v>AIS_Entrez_Ensembl_missing</x:v>
      </x:c>
      <x:c r="H2" s="106" t="str">
        <x:v>L4_BroadExploratory</x:v>
      </x:c>
      <x:c r="I2" s="106" t="str">
        <x:v>L4 broad exploratory overlap</x:v>
      </x:c>
      <x:c r="J2" s="107" t="b">
        <x:v>0</x:v>
      </x:c>
      <x:c r="K2" s="107" t="b">
        <x:v>0</x:v>
      </x:c>
      <x:c r="L2" s="107" t="b">
        <x:v>0</x:v>
      </x:c>
      <x:c r="M2" s="107" t="b">
        <x:v>0</x:v>
      </x:c>
      <x:c r="N2" s="107" t="b">
        <x:v>1</x:v>
      </x:c>
      <x:c r="O2" s="106" t="str">
        <x:v>ExtendedPrediction</x:v>
      </x:c>
      <x:c r="P2" s="106" t="str">
        <x:v>PASSTargets</x:v>
      </x:c>
      <x:c r="Q2" s="112" t="n">
        <x:v>1</x:v>
      </x:c>
      <x:c r="R2" s="106" t="str">
        <x:v>PASSTargets</x:v>
      </x:c>
      <x:c r="S2" s="112" t="n">
        <x:v>1</x:v>
      </x:c>
      <x:c r="T2" s="107" t="b">
        <x:v>0</x:v>
      </x:c>
      <x:c r="U2" s="107" t="b">
        <x:v>0</x:v>
      </x:c>
      <x:c r="V2" s="107" t="b">
        <x:v>0</x:v>
      </x:c>
      <x:c r="W2" s="107" t="b">
        <x:v>0</x:v>
      </x:c>
      <x:c r="X2" s="107" t="b">
        <x:v>1</x:v>
      </x:c>
      <x:c r="Y2" s="107" t="b">
        <x:v>0</x:v>
      </x:c>
      <x:c r="Z2" s="107" t="b">
        <x:v>0</x:v>
      </x:c>
      <x:c r="AA2" s="107" t="b">
        <x:v>0</x:v>
      </x:c>
      <x:c r="AB2" s="107" t="b">
        <x:v>0</x:v>
      </x:c>
      <x:c r="AC2" s="107" t="b">
        <x:v>0</x:v>
      </x:c>
      <x:c r="AD2" s="107" t="b">
        <x:v>1</x:v>
      </x:c>
      <x:c r="AE2" s="107" t="b">
        <x:v>0</x:v>
      </x:c>
      <x:c r="AF2" s="115" t="str"/>
      <x:c r="AG2" s="115" t="str"/>
      <x:c r="AH2" s="115" t="str"/>
      <x:c r="AI2" s="118" t="str"/>
      <x:c r="AJ2" s="118" t="str"/>
      <x:c r="AK2" s="118" t="str"/>
      <x:c r="AL2" s="115" t="str"/>
      <x:c r="AM2" s="118" t="n">
        <x:v>0.1043</x:v>
      </x:c>
      <x:c r="AN2" s="118" t="str"/>
      <x:c r="AO2" s="112" t="str"/>
      <x:c r="AP2" s="106" t="str">
        <x:v>Single-source extended prediction; sensitivity analysis only</x:v>
      </x:c>
      <x:c r="AQ2" s="106" t="str">
        <x:v>Prediction evidence only; database repetition is prioritization, not experimental validation.</x:v>
      </x:c>
      <x:c r="AR2" s="106" t="str">
        <x:v>BroadSensitivity</x:v>
      </x:c>
      <x:c r="AS2" s="107" t="b">
        <x:v>0</x:v>
      </x:c>
      <x:c r="AT2" s="107" t="b">
        <x:v>0</x:v>
      </x:c>
      <x:c r="AU2" s="107" t="b">
        <x:v>0</x:v>
      </x:c>
      <x:c r="AV2" s="107" t="b">
        <x:v>1</x:v>
      </x:c>
      <x:c r="AW2" s="106" t="str"/>
      <x:c r="AX2" s="112" t="n">
        <x:v>0</x:v>
      </x:c>
      <x:c r="AY2" s="106" t="str"/>
      <x:c r="AZ2" s="112" t="n">
        <x:v>0</x:v>
      </x:c>
      <x:c r="BA2" s="106" t="str">
        <x:v>GeneCards</x:v>
      </x:c>
      <x:c r="BB2" s="112" t="n">
        <x:v>1</x:v>
      </x:c>
      <x:c r="BC2" s="107" t="b">
        <x:v>0</x:v>
      </x:c>
      <x:c r="BD2" s="107" t="b">
        <x:v>0</x:v>
      </x:c>
      <x:c r="BE2" s="107" t="b">
        <x:v>1</x:v>
      </x:c>
      <x:c r="BF2" s="107" t="b">
        <x:v>0</x:v>
      </x:c>
      <x:c r="BG2" s="107" t="b">
        <x:v>0</x:v>
      </x:c>
      <x:c r="BH2" s="107" t="b">
        <x:v>0</x:v>
      </x:c>
      <x:c r="BI2" s="107" t="b">
        <x:v>0</x:v>
      </x:c>
      <x:c r="BJ2" s="107" t="b">
        <x:v>0</x:v>
      </x:c>
      <x:c r="BK2" s="107" t="b">
        <x:v>0</x:v>
      </x:c>
      <x:c r="BL2" s="118" t="n">
        <x:v>1.9833109</x:v>
      </x:c>
      <x:c r="BM2" s="118" t="n">
        <x:v>100</x:v>
      </x:c>
      <x:c r="BN2" s="106" t="str"/>
      <x:c r="BO2" s="106" t="str"/>
      <x:c r="BP2" s="106" t="str"/>
      <x:c r="BQ2" s="106" t="str"/>
      <x:c r="BR2" s="118" t="str"/>
      <x:c r="BS2" s="118" t="str"/>
      <x:c r="BT2" s="112" t="str"/>
      <x:c r="BU2" s="106" t="str">
        <x:v>Disease association evidence; not necessarily causal and not proof of therapeutic relevance.</x:v>
      </x:c>
      <x:c r="BV2" s="106" t="str">
        <x:v>Drug prediction sources: PASSTargets (n=1); AIS broad-layer sources: GeneCards (n=1).</x:v>
      </x:c>
      <x:c r="BW2" s="106" t="str">
        <x:v>Computational drug–disease overlap for hypothesis generation only; not experimental validation, causal proof, druggability evidence, or a cytoHubba-defined Hub gene.</x:v>
      </x:c>
    </x:row>
    <x:row r="3" ht="23" customHeight="1">
      <x:c r="A3" s="108" t="str">
        <x:v>F2</x:v>
      </x:c>
      <x:c r="B3" s="108" t="str">
        <x:v>P00734</x:v>
      </x:c>
      <x:c r="C3" s="108" t="str">
        <x:v>Prothrombin</x:v>
      </x:c>
      <x:c r="D3" s="108" t="str">
        <x:v>Coagulation Factor II, Thrombin</x:v>
      </x:c>
      <x:c r="E3" s="108" t="str">
        <x:v>2147</x:v>
      </x:c>
      <x:c r="F3" s="108" t="str">
        <x:v>ENSG00000180210</x:v>
      </x:c>
      <x:c r="G3" s="108" t="str">
        <x:v>Entrez+Ensembl_available</x:v>
      </x:c>
      <x:c r="H3" s="108" t="str">
        <x:v>L3_MediumExtended</x:v>
      </x:c>
      <x:c r="I3" s="108" t="str">
        <x:v>L3 medium-sensitivity overlap</x:v>
      </x:c>
      <x:c r="J3" s="109" t="b">
        <x:v>0</x:v>
      </x:c>
      <x:c r="K3" s="109" t="b">
        <x:v>0</x:v>
      </x:c>
      <x:c r="L3" s="109" t="b">
        <x:v>0</x:v>
      </x:c>
      <x:c r="M3" s="109" t="b">
        <x:v>1</x:v>
      </x:c>
      <x:c r="N3" s="109" t="b">
        <x:v>1</x:v>
      </x:c>
      <x:c r="O3" s="108" t="str">
        <x:v>ExtendedPrediction</x:v>
      </x:c>
      <x:c r="P3" s="108" t="str">
        <x:v>PharmMapper</x:v>
      </x:c>
      <x:c r="Q3" s="113" t="n">
        <x:v>1</x:v>
      </x:c>
      <x:c r="R3" s="108" t="str">
        <x:v>PharmMapper</x:v>
      </x:c>
      <x:c r="S3" s="113" t="n">
        <x:v>1</x:v>
      </x:c>
      <x:c r="T3" s="109" t="b">
        <x:v>0</x:v>
      </x:c>
      <x:c r="U3" s="109" t="b">
        <x:v>0</x:v>
      </x:c>
      <x:c r="V3" s="109" t="b">
        <x:v>0</x:v>
      </x:c>
      <x:c r="W3" s="109" t="b">
        <x:v>0</x:v>
      </x:c>
      <x:c r="X3" s="109" t="b">
        <x:v>1</x:v>
      </x:c>
      <x:c r="Y3" s="109" t="b">
        <x:v>0</x:v>
      </x:c>
      <x:c r="Z3" s="109" t="b">
        <x:v>0</x:v>
      </x:c>
      <x:c r="AA3" s="109" t="b">
        <x:v>1</x:v>
      </x:c>
      <x:c r="AB3" s="109" t="b">
        <x:v>0</x:v>
      </x:c>
      <x:c r="AC3" s="109" t="b">
        <x:v>0</x:v>
      </x:c>
      <x:c r="AD3" s="109" t="b">
        <x:v>0</x:v>
      </x:c>
      <x:c r="AE3" s="109" t="b">
        <x:v>0</x:v>
      </x:c>
      <x:c r="AF3" s="116" t="str"/>
      <x:c r="AG3" s="116" t="str"/>
      <x:c r="AH3" s="116" t="str"/>
      <x:c r="AI3" s="119" t="n">
        <x:v>0.7429</x:v>
      </x:c>
      <x:c r="AJ3" s="119" t="n">
        <x:v>1.3435</x:v>
      </x:c>
      <x:c r="AK3" s="119" t="str"/>
      <x:c r="AL3" s="116" t="str"/>
      <x:c r="AM3" s="119" t="str"/>
      <x:c r="AN3" s="119" t="str"/>
      <x:c r="AO3" s="113" t="str"/>
      <x:c r="AP3" s="108" t="str">
        <x:v>Single-source extended prediction; sensitivity analysis only</x:v>
      </x:c>
      <x:c r="AQ3" s="108" t="str">
        <x:v>Prediction evidence only; database repetition is prioritization, not experimental validation.</x:v>
      </x:c>
      <x:c r="AR3" s="108" t="str">
        <x:v>Strict</x:v>
      </x:c>
      <x:c r="AS3" s="109" t="b">
        <x:v>1</x:v>
      </x:c>
      <x:c r="AT3" s="109" t="b">
        <x:v>1</x:v>
      </x:c>
      <x:c r="AU3" s="109" t="b">
        <x:v>1</x:v>
      </x:c>
      <x:c r="AV3" s="109" t="b">
        <x:v>1</x:v>
      </x:c>
      <x:c r="AW3" s="108" t="str">
        <x:v>OMIM</x:v>
      </x:c>
      <x:c r="AX3" s="113" t="n">
        <x:v>1</x:v>
      </x:c>
      <x:c r="AY3" s="108" t="str">
        <x:v>OMIM</x:v>
      </x:c>
      <x:c r="AZ3" s="113" t="n">
        <x:v>1</x:v>
      </x:c>
      <x:c r="BA3" s="108" t="str">
        <x:v>GeneCards;OMIM;DisGeNET</x:v>
      </x:c>
      <x:c r="BB3" s="113" t="n">
        <x:v>3</x:v>
      </x:c>
      <x:c r="BC3" s="109" t="b">
        <x:v>0</x:v>
      </x:c>
      <x:c r="BD3" s="109" t="b">
        <x:v>0</x:v>
      </x:c>
      <x:c r="BE3" s="109" t="b">
        <x:v>1</x:v>
      </x:c>
      <x:c r="BF3" s="109" t="b">
        <x:v>1</x:v>
      </x:c>
      <x:c r="BG3" s="109" t="b">
        <x:v>1</x:v>
      </x:c>
      <x:c r="BH3" s="109" t="b">
        <x:v>1</x:v>
      </x:c>
      <x:c r="BI3" s="109" t="b">
        <x:v>0</x:v>
      </x:c>
      <x:c r="BJ3" s="109" t="b">
        <x:v>0</x:v>
      </x:c>
      <x:c r="BK3" s="109" t="b">
        <x:v>1</x:v>
      </x:c>
      <x:c r="BL3" s="119" t="n">
        <x:v>2.5259428</x:v>
      </x:c>
      <x:c r="BM3" s="119" t="n">
        <x:v>100</x:v>
      </x:c>
      <x:c r="BN3" s="108" t="str">
        <x:v>176930</x:v>
      </x:c>
      <x:c r="BO3" s="108" t="str">
        <x:v>601367</x:v>
      </x:c>
      <x:c r="BP3" s="108" t="str">
        <x:v>UltraStrict_Direct_AIS</x:v>
      </x:c>
      <x:c r="BQ3" s="108" t="str">
        <x:v>direct_ischemic</x:v>
      </x:c>
      <x:c r="BR3" s="119" t="n">
        <x:v>0.2</x:v>
      </x:c>
      <x:c r="BS3" s="119" t="n">
        <x:v>0.6666666666666666</x:v>
      </x:c>
      <x:c r="BT3" s="113" t="n">
        <x:v>3</x:v>
      </x:c>
      <x:c r="BU3" s="108" t="str">
        <x:v>Disease association evidence; not necessarily causal and not proof of therapeutic relevance.</x:v>
      </x:c>
      <x:c r="BV3" s="108" t="str">
        <x:v>Drug prediction sources: PharmMapper (n=1); AIS broad-layer sources: GeneCards;OMIM;DisGeNET (n=3).</x:v>
      </x:c>
      <x:c r="BW3" s="108" t="str">
        <x:v>Computational drug–disease overlap for hypothesis generation only; not experimental validation, causal proof, druggability evidence, or a cytoHubba-defined Hub gene.</x:v>
      </x:c>
    </x:row>
    <x:row r="4" ht="23" customHeight="1">
      <x:c r="A4" s="108" t="str">
        <x:v>F2R</x:v>
      </x:c>
      <x:c r="B4" s="108" t="str">
        <x:v>P25116</x:v>
      </x:c>
      <x:c r="C4" s="108" t="str">
        <x:v>Proteinase-activated receptor 1</x:v>
      </x:c>
      <x:c r="D4" s="108" t="str">
        <x:v>Coagulation Factor II Thrombin Receptor</x:v>
      </x:c>
      <x:c r="E4" s="108" t="str"/>
      <x:c r="F4" s="108" t="str"/>
      <x:c r="G4" s="108" t="str">
        <x:v>AIS_Entrez_Ensembl_missing</x:v>
      </x:c>
      <x:c r="H4" s="108" t="str">
        <x:v>L4_BroadExploratory</x:v>
      </x:c>
      <x:c r="I4" s="108" t="str">
        <x:v>L4 broad exploratory overlap</x:v>
      </x:c>
      <x:c r="J4" s="109" t="b">
        <x:v>0</x:v>
      </x:c>
      <x:c r="K4" s="109" t="b">
        <x:v>0</x:v>
      </x:c>
      <x:c r="L4" s="109" t="b">
        <x:v>0</x:v>
      </x:c>
      <x:c r="M4" s="109" t="b">
        <x:v>0</x:v>
      </x:c>
      <x:c r="N4" s="109" t="b">
        <x:v>1</x:v>
      </x:c>
      <x:c r="O4" s="108" t="str">
        <x:v>ExtendedPrediction</x:v>
      </x:c>
      <x:c r="P4" s="108" t="str">
        <x:v>PASSTargets</x:v>
      </x:c>
      <x:c r="Q4" s="113" t="n">
        <x:v>1</x:v>
      </x:c>
      <x:c r="R4" s="108" t="str">
        <x:v>PASSTargets</x:v>
      </x:c>
      <x:c r="S4" s="113" t="n">
        <x:v>1</x:v>
      </x:c>
      <x:c r="T4" s="109" t="b">
        <x:v>0</x:v>
      </x:c>
      <x:c r="U4" s="109" t="b">
        <x:v>0</x:v>
      </x:c>
      <x:c r="V4" s="109" t="b">
        <x:v>0</x:v>
      </x:c>
      <x:c r="W4" s="109" t="b">
        <x:v>0</x:v>
      </x:c>
      <x:c r="X4" s="109" t="b">
        <x:v>1</x:v>
      </x:c>
      <x:c r="Y4" s="109" t="b">
        <x:v>0</x:v>
      </x:c>
      <x:c r="Z4" s="109" t="b">
        <x:v>0</x:v>
      </x:c>
      <x:c r="AA4" s="109" t="b">
        <x:v>0</x:v>
      </x:c>
      <x:c r="AB4" s="109" t="b">
        <x:v>0</x:v>
      </x:c>
      <x:c r="AC4" s="109" t="b">
        <x:v>0</x:v>
      </x:c>
      <x:c r="AD4" s="109" t="b">
        <x:v>1</x:v>
      </x:c>
      <x:c r="AE4" s="109" t="b">
        <x:v>0</x:v>
      </x:c>
      <x:c r="AF4" s="116" t="str"/>
      <x:c r="AG4" s="116" t="str"/>
      <x:c r="AH4" s="116" t="str"/>
      <x:c r="AI4" s="119" t="str"/>
      <x:c r="AJ4" s="119" t="str"/>
      <x:c r="AK4" s="119" t="str"/>
      <x:c r="AL4" s="116" t="str"/>
      <x:c r="AM4" s="119" t="n">
        <x:v>0.1169</x:v>
      </x:c>
      <x:c r="AN4" s="119" t="str"/>
      <x:c r="AO4" s="113" t="str"/>
      <x:c r="AP4" s="108" t="str">
        <x:v>Single-source extended prediction; sensitivity analysis only</x:v>
      </x:c>
      <x:c r="AQ4" s="108" t="str">
        <x:v>Prediction evidence only; database repetition is prioritization, not experimental validation.</x:v>
      </x:c>
      <x:c r="AR4" s="108" t="str">
        <x:v>BroadSensitivity</x:v>
      </x:c>
      <x:c r="AS4" s="109" t="b">
        <x:v>0</x:v>
      </x:c>
      <x:c r="AT4" s="109" t="b">
        <x:v>0</x:v>
      </x:c>
      <x:c r="AU4" s="109" t="b">
        <x:v>0</x:v>
      </x:c>
      <x:c r="AV4" s="109" t="b">
        <x:v>1</x:v>
      </x:c>
      <x:c r="AW4" s="108" t="str"/>
      <x:c r="AX4" s="113" t="n">
        <x:v>0</x:v>
      </x:c>
      <x:c r="AY4" s="108" t="str"/>
      <x:c r="AZ4" s="113" t="n">
        <x:v>0</x:v>
      </x:c>
      <x:c r="BA4" s="108" t="str">
        <x:v>GeneCards</x:v>
      </x:c>
      <x:c r="BB4" s="113" t="n">
        <x:v>1</x:v>
      </x:c>
      <x:c r="BC4" s="109" t="b">
        <x:v>0</x:v>
      </x:c>
      <x:c r="BD4" s="109" t="b">
        <x:v>0</x:v>
      </x:c>
      <x:c r="BE4" s="109" t="b">
        <x:v>1</x:v>
      </x:c>
      <x:c r="BF4" s="109" t="b">
        <x:v>0</x:v>
      </x:c>
      <x:c r="BG4" s="109" t="b">
        <x:v>0</x:v>
      </x:c>
      <x:c r="BH4" s="109" t="b">
        <x:v>0</x:v>
      </x:c>
      <x:c r="BI4" s="109" t="b">
        <x:v>0</x:v>
      </x:c>
      <x:c r="BJ4" s="109" t="b">
        <x:v>0</x:v>
      </x:c>
      <x:c r="BK4" s="109" t="b">
        <x:v>0</x:v>
      </x:c>
      <x:c r="BL4" s="119" t="n">
        <x:v>1.7358501</x:v>
      </x:c>
      <x:c r="BM4" s="119" t="n">
        <x:v>87</x:v>
      </x:c>
      <x:c r="BN4" s="108" t="str"/>
      <x:c r="BO4" s="108" t="str"/>
      <x:c r="BP4" s="108" t="str"/>
      <x:c r="BQ4" s="108" t="str"/>
      <x:c r="BR4" s="119" t="str"/>
      <x:c r="BS4" s="119" t="str"/>
      <x:c r="BT4" s="113" t="str"/>
      <x:c r="BU4" s="108" t="str">
        <x:v>Disease association evidence; not necessarily causal and not proof of therapeutic relevance.</x:v>
      </x:c>
      <x:c r="BV4" s="108" t="str">
        <x:v>Drug prediction sources: PASSTargets (n=1); AIS broad-layer sources: GeneCards (n=1).</x:v>
      </x:c>
      <x:c r="BW4" s="108" t="str">
        <x:v>Computational drug–disease overlap for hypothesis generation only; not experimental validation, causal proof, druggability evidence, or a cytoHubba-defined Hub gene.</x:v>
      </x:c>
    </x:row>
    <x:row r="5" ht="23" customHeight="1">
      <x:c r="A5" s="108" t="str">
        <x:v>HIF1A</x:v>
      </x:c>
      <x:c r="B5" s="108" t="str">
        <x:v>Q16665</x:v>
      </x:c>
      <x:c r="C5" s="108" t="str">
        <x:v>Hypoxia-inducible factor 1 alpha</x:v>
      </x:c>
      <x:c r="D5" s="108" t="str">
        <x:v>Hypoxia Inducible Factor 1 Subunit Alpha</x:v>
      </x:c>
      <x:c r="E5" s="108" t="str"/>
      <x:c r="F5" s="108" t="str"/>
      <x:c r="G5" s="108" t="str">
        <x:v>AIS_Entrez_Ensembl_missing</x:v>
      </x:c>
      <x:c r="H5" s="108" t="str">
        <x:v>L2_Primary</x:v>
      </x:c>
      <x:c r="I5" s="108" t="str">
        <x:v>L2 primary anchor</x:v>
      </x:c>
      <x:c r="J5" s="109" t="b">
        <x:v>1</x:v>
      </x:c>
      <x:c r="K5" s="109" t="b">
        <x:v>0</x:v>
      </x:c>
      <x:c r="L5" s="109" t="b">
        <x:v>1</x:v>
      </x:c>
      <x:c r="M5" s="109" t="b">
        <x:v>1</x:v>
      </x:c>
      <x:c r="N5" s="109" t="b">
        <x:v>1</x:v>
      </x:c>
      <x:c r="O5" s="108" t="str">
        <x:v>Strict</x:v>
      </x:c>
      <x:c r="P5" s="108" t="str">
        <x:v>SuperPred</x:v>
      </x:c>
      <x:c r="Q5" s="113" t="n">
        <x:v>1</x:v>
      </x:c>
      <x:c r="R5" s="108" t="str">
        <x:v>SuperPred</x:v>
      </x:c>
      <x:c r="S5" s="113" t="n">
        <x:v>1</x:v>
      </x:c>
      <x:c r="T5" s="109" t="b">
        <x:v>0</x:v>
      </x:c>
      <x:c r="U5" s="109" t="b">
        <x:v>1</x:v>
      </x:c>
      <x:c r="V5" s="109" t="b">
        <x:v>0</x:v>
      </x:c>
      <x:c r="W5" s="109" t="b">
        <x:v>1</x:v>
      </x:c>
      <x:c r="X5" s="109" t="b">
        <x:v>1</x:v>
      </x:c>
      <x:c r="Y5" s="109" t="b">
        <x:v>0</x:v>
      </x:c>
      <x:c r="Z5" s="109" t="b">
        <x:v>1</x:v>
      </x:c>
      <x:c r="AA5" s="109" t="b">
        <x:v>0</x:v>
      </x:c>
      <x:c r="AB5" s="109" t="b">
        <x:v>0</x:v>
      </x:c>
      <x:c r="AC5" s="109" t="b">
        <x:v>0</x:v>
      </x:c>
      <x:c r="AD5" s="109" t="b">
        <x:v>0</x:v>
      </x:c>
      <x:c r="AE5" s="109" t="b">
        <x:v>0</x:v>
      </x:c>
      <x:c r="AF5" s="116" t="str"/>
      <x:c r="AG5" s="116" t="n">
        <x:v>0.8358</x:v>
      </x:c>
      <x:c r="AH5" s="116" t="n">
        <x:v>0.8514</x:v>
      </x:c>
      <x:c r="AI5" s="119" t="str"/>
      <x:c r="AJ5" s="119" t="str"/>
      <x:c r="AK5" s="119" t="str"/>
      <x:c r="AL5" s="116" t="str"/>
      <x:c r="AM5" s="119" t="str"/>
      <x:c r="AN5" s="119" t="str"/>
      <x:c r="AO5" s="113" t="str"/>
      <x:c r="AP5" s="108" t="str">
        <x:v>Meets a strict predictor-specific threshold</x:v>
      </x:c>
      <x:c r="AQ5" s="108" t="str">
        <x:v>Prediction evidence only; database repetition is prioritization, not experimental validation.</x:v>
      </x:c>
      <x:c r="AR5" s="108" t="str">
        <x:v>Primary</x:v>
      </x:c>
      <x:c r="AS5" s="109" t="b">
        <x:v>0</x:v>
      </x:c>
      <x:c r="AT5" s="109" t="b">
        <x:v>1</x:v>
      </x:c>
      <x:c r="AU5" s="109" t="b">
        <x:v>1</x:v>
      </x:c>
      <x:c r="AV5" s="109" t="b">
        <x:v>1</x:v>
      </x:c>
      <x:c r="AW5" s="108" t="str">
        <x:v>GeneCards</x:v>
      </x:c>
      <x:c r="AX5" s="113" t="n">
        <x:v>1</x:v>
      </x:c>
      <x:c r="AY5" s="108" t="str">
        <x:v>GeneCards</x:v>
      </x:c>
      <x:c r="AZ5" s="113" t="n">
        <x:v>1</x:v>
      </x:c>
      <x:c r="BA5" s="108" t="str">
        <x:v>GeneCards</x:v>
      </x:c>
      <x:c r="BB5" s="113" t="n">
        <x:v>1</x:v>
      </x:c>
      <x:c r="BC5" s="109" t="b">
        <x:v>0</x:v>
      </x:c>
      <x:c r="BD5" s="109" t="b">
        <x:v>1</x:v>
      </x:c>
      <x:c r="BE5" s="109" t="b">
        <x:v>1</x:v>
      </x:c>
      <x:c r="BF5" s="109" t="b">
        <x:v>0</x:v>
      </x:c>
      <x:c r="BG5" s="109" t="b">
        <x:v>0</x:v>
      </x:c>
      <x:c r="BH5" s="109" t="b">
        <x:v>0</x:v>
      </x:c>
      <x:c r="BI5" s="109" t="b">
        <x:v>0</x:v>
      </x:c>
      <x:c r="BJ5" s="109" t="b">
        <x:v>0</x:v>
      </x:c>
      <x:c r="BK5" s="109" t="b">
        <x:v>0</x:v>
      </x:c>
      <x:c r="BL5" s="119" t="n">
        <x:v>4.486366</x:v>
      </x:c>
      <x:c r="BM5" s="119" t="n">
        <x:v>96</x:v>
      </x:c>
      <x:c r="BN5" s="108" t="str"/>
      <x:c r="BO5" s="108" t="str"/>
      <x:c r="BP5" s="108" t="str"/>
      <x:c r="BQ5" s="108" t="str"/>
      <x:c r="BR5" s="119" t="str"/>
      <x:c r="BS5" s="119" t="str"/>
      <x:c r="BT5" s="113" t="str"/>
      <x:c r="BU5" s="108" t="str">
        <x:v>Disease association evidence; not necessarily causal and not proof of therapeutic relevance.</x:v>
      </x:c>
      <x:c r="BV5" s="108" t="str">
        <x:v>Drug prediction sources: SuperPred (n=1); AIS broad-layer sources: GeneCards (n=1).</x:v>
      </x:c>
      <x:c r="BW5" s="108" t="str">
        <x:v>Computational drug–disease overlap for hypothesis generation only; not experimental validation, causal proof, druggability evidence, or a cytoHubba-defined Hub gene.</x:v>
      </x:c>
    </x:row>
    <x:row r="6" ht="23" customHeight="1">
      <x:c r="A6" s="108" t="str">
        <x:v>IL2</x:v>
      </x:c>
      <x:c r="B6" s="108" t="str">
        <x:v>P60568</x:v>
      </x:c>
      <x:c r="C6" s="108" t="str">
        <x:v>Interleukin-2</x:v>
      </x:c>
      <x:c r="D6" s="108" t="str">
        <x:v>Interleukin 2</x:v>
      </x:c>
      <x:c r="E6" s="108" t="str"/>
      <x:c r="F6" s="108" t="str"/>
      <x:c r="G6" s="108" t="str">
        <x:v>AIS_Entrez_Ensembl_missing</x:v>
      </x:c>
      <x:c r="H6" s="108" t="str">
        <x:v>L4_BroadExploratory</x:v>
      </x:c>
      <x:c r="I6" s="108" t="str">
        <x:v>L4 broad exploratory overlap</x:v>
      </x:c>
      <x:c r="J6" s="109" t="b">
        <x:v>0</x:v>
      </x:c>
      <x:c r="K6" s="109" t="b">
        <x:v>0</x:v>
      </x:c>
      <x:c r="L6" s="109" t="b">
        <x:v>0</x:v>
      </x:c>
      <x:c r="M6" s="109" t="b">
        <x:v>0</x:v>
      </x:c>
      <x:c r="N6" s="109" t="b">
        <x:v>1</x:v>
      </x:c>
      <x:c r="O6" s="108" t="str">
        <x:v>ExtendedPrediction</x:v>
      </x:c>
      <x:c r="P6" s="108" t="str">
        <x:v>PASSTargets</x:v>
      </x:c>
      <x:c r="Q6" s="113" t="n">
        <x:v>1</x:v>
      </x:c>
      <x:c r="R6" s="108" t="str">
        <x:v>PASSTargets</x:v>
      </x:c>
      <x:c r="S6" s="113" t="n">
        <x:v>1</x:v>
      </x:c>
      <x:c r="T6" s="109" t="b">
        <x:v>0</x:v>
      </x:c>
      <x:c r="U6" s="109" t="b">
        <x:v>0</x:v>
      </x:c>
      <x:c r="V6" s="109" t="b">
        <x:v>0</x:v>
      </x:c>
      <x:c r="W6" s="109" t="b">
        <x:v>0</x:v>
      </x:c>
      <x:c r="X6" s="109" t="b">
        <x:v>1</x:v>
      </x:c>
      <x:c r="Y6" s="109" t="b">
        <x:v>0</x:v>
      </x:c>
      <x:c r="Z6" s="109" t="b">
        <x:v>0</x:v>
      </x:c>
      <x:c r="AA6" s="109" t="b">
        <x:v>0</x:v>
      </x:c>
      <x:c r="AB6" s="109" t="b">
        <x:v>0</x:v>
      </x:c>
      <x:c r="AC6" s="109" t="b">
        <x:v>0</x:v>
      </x:c>
      <x:c r="AD6" s="109" t="b">
        <x:v>1</x:v>
      </x:c>
      <x:c r="AE6" s="109" t="b">
        <x:v>0</x:v>
      </x:c>
      <x:c r="AF6" s="116" t="str"/>
      <x:c r="AG6" s="116" t="str"/>
      <x:c r="AH6" s="116" t="str"/>
      <x:c r="AI6" s="119" t="str"/>
      <x:c r="AJ6" s="119" t="str"/>
      <x:c r="AK6" s="119" t="str"/>
      <x:c r="AL6" s="116" t="str"/>
      <x:c r="AM6" s="119" t="n">
        <x:v>0.0778</x:v>
      </x:c>
      <x:c r="AN6" s="119" t="str"/>
      <x:c r="AO6" s="113" t="str"/>
      <x:c r="AP6" s="108" t="str">
        <x:v>Single-source extended prediction; sensitivity analysis only</x:v>
      </x:c>
      <x:c r="AQ6" s="108" t="str">
        <x:v>Prediction evidence only; database repetition is prioritization, not experimental validation.</x:v>
      </x:c>
      <x:c r="AR6" s="108" t="str">
        <x:v>BroadSensitivity</x:v>
      </x:c>
      <x:c r="AS6" s="109" t="b">
        <x:v>0</x:v>
      </x:c>
      <x:c r="AT6" s="109" t="b">
        <x:v>0</x:v>
      </x:c>
      <x:c r="AU6" s="109" t="b">
        <x:v>0</x:v>
      </x:c>
      <x:c r="AV6" s="109" t="b">
        <x:v>1</x:v>
      </x:c>
      <x:c r="AW6" s="108" t="str"/>
      <x:c r="AX6" s="113" t="n">
        <x:v>0</x:v>
      </x:c>
      <x:c r="AY6" s="108" t="str"/>
      <x:c r="AZ6" s="113" t="n">
        <x:v>0</x:v>
      </x:c>
      <x:c r="BA6" s="108" t="str">
        <x:v>GeneCards</x:v>
      </x:c>
      <x:c r="BB6" s="113" t="n">
        <x:v>1</x:v>
      </x:c>
      <x:c r="BC6" s="109" t="b">
        <x:v>0</x:v>
      </x:c>
      <x:c r="BD6" s="109" t="b">
        <x:v>0</x:v>
      </x:c>
      <x:c r="BE6" s="109" t="b">
        <x:v>1</x:v>
      </x:c>
      <x:c r="BF6" s="109" t="b">
        <x:v>0</x:v>
      </x:c>
      <x:c r="BG6" s="109" t="b">
        <x:v>0</x:v>
      </x:c>
      <x:c r="BH6" s="109" t="b">
        <x:v>0</x:v>
      </x:c>
      <x:c r="BI6" s="109" t="b">
        <x:v>0</x:v>
      </x:c>
      <x:c r="BJ6" s="109" t="b">
        <x:v>0</x:v>
      </x:c>
      <x:c r="BK6" s="109" t="b">
        <x:v>0</x:v>
      </x:c>
      <x:c r="BL6" s="119" t="n">
        <x:v>1.6111301</x:v>
      </x:c>
      <x:c r="BM6" s="119" t="n">
        <x:v>87</x:v>
      </x:c>
      <x:c r="BN6" s="108" t="str"/>
      <x:c r="BO6" s="108" t="str"/>
      <x:c r="BP6" s="108" t="str"/>
      <x:c r="BQ6" s="108" t="str"/>
      <x:c r="BR6" s="119" t="str"/>
      <x:c r="BS6" s="119" t="str"/>
      <x:c r="BT6" s="113" t="str"/>
      <x:c r="BU6" s="108" t="str">
        <x:v>Disease association evidence; not necessarily causal and not proof of therapeutic relevance.</x:v>
      </x:c>
      <x:c r="BV6" s="108" t="str">
        <x:v>Drug prediction sources: PASSTargets (n=1); AIS broad-layer sources: GeneCards (n=1).</x:v>
      </x:c>
      <x:c r="BW6" s="108" t="str">
        <x:v>Computational drug–disease overlap for hypothesis generation only; not experimental validation, causal proof, druggability evidence, or a cytoHubba-defined Hub gene.</x:v>
      </x:c>
    </x:row>
    <x:row r="7" ht="23" customHeight="1">
      <x:c r="A7" s="108" t="str">
        <x:v>MIF</x:v>
      </x:c>
      <x:c r="B7" s="108" t="str">
        <x:v>P14174</x:v>
      </x:c>
      <x:c r="C7" s="108" t="str">
        <x:v>Macrophage migration inhibitory factor (MIF) (EC 5.3.2.1) (Glycosylation-inhibiting factor) (GIF) (L-dopachrome isomerase) (L-dopachrome tautomerase) (EC 5.3.3.12) (Phenylpyruvate tautomerase)</x:v>
      </x:c>
      <x:c r="D7" s="108" t="str">
        <x:v>Macrophage Migration Inhibitory Factor</x:v>
      </x:c>
      <x:c r="E7" s="108" t="str"/>
      <x:c r="F7" s="108" t="str"/>
      <x:c r="G7" s="108" t="str">
        <x:v>AIS_Entrez_Ensembl_missing</x:v>
      </x:c>
      <x:c r="H7" s="108" t="str">
        <x:v>L4_BroadExploratory</x:v>
      </x:c>
      <x:c r="I7" s="108" t="str">
        <x:v>L4 broad exploratory overlap</x:v>
      </x:c>
      <x:c r="J7" s="109" t="b">
        <x:v>0</x:v>
      </x:c>
      <x:c r="K7" s="109" t="b">
        <x:v>0</x:v>
      </x:c>
      <x:c r="L7" s="109" t="b">
        <x:v>0</x:v>
      </x:c>
      <x:c r="M7" s="109" t="b">
        <x:v>0</x:v>
      </x:c>
      <x:c r="N7" s="109" t="b">
        <x:v>1</x:v>
      </x:c>
      <x:c r="O7" s="108" t="str">
        <x:v>ExtendedPrediction</x:v>
      </x:c>
      <x:c r="P7" s="108" t="str">
        <x:v>NetInfer</x:v>
      </x:c>
      <x:c r="Q7" s="113" t="n">
        <x:v>1</x:v>
      </x:c>
      <x:c r="R7" s="108" t="str">
        <x:v>NetInfer</x:v>
      </x:c>
      <x:c r="S7" s="113" t="n">
        <x:v>1</x:v>
      </x:c>
      <x:c r="T7" s="109" t="b">
        <x:v>0</x:v>
      </x:c>
      <x:c r="U7" s="109" t="b">
        <x:v>0</x:v>
      </x:c>
      <x:c r="V7" s="109" t="b">
        <x:v>0</x:v>
      </x:c>
      <x:c r="W7" s="109" t="b">
        <x:v>0</x:v>
      </x:c>
      <x:c r="X7" s="109" t="b">
        <x:v>1</x:v>
      </x:c>
      <x:c r="Y7" s="109" t="b">
        <x:v>0</x:v>
      </x:c>
      <x:c r="Z7" s="109" t="b">
        <x:v>0</x:v>
      </x:c>
      <x:c r="AA7" s="109" t="b">
        <x:v>0</x:v>
      </x:c>
      <x:c r="AB7" s="109" t="b">
        <x:v>0</x:v>
      </x:c>
      <x:c r="AC7" s="109" t="b">
        <x:v>0</x:v>
      </x:c>
      <x:c r="AD7" s="109" t="b">
        <x:v>0</x:v>
      </x:c>
      <x:c r="AE7" s="109" t="b">
        <x:v>1</x:v>
      </x:c>
      <x:c r="AF7" s="116" t="str"/>
      <x:c r="AG7" s="116" t="str"/>
      <x:c r="AH7" s="116" t="str"/>
      <x:c r="AI7" s="119" t="str"/>
      <x:c r="AJ7" s="119" t="str"/>
      <x:c r="AK7" s="119" t="str"/>
      <x:c r="AL7" s="116" t="str"/>
      <x:c r="AM7" s="119" t="str"/>
      <x:c r="AN7" s="119" t="n">
        <x:v>0.827365</x:v>
      </x:c>
      <x:c r="AO7" s="113" t="n">
        <x:v>41</x:v>
      </x:c>
      <x:c r="AP7" s="108" t="str">
        <x:v>Single-source extended prediction; sensitivity analysis only</x:v>
      </x:c>
      <x:c r="AQ7" s="108" t="str">
        <x:v>Prediction evidence only; database repetition is prioritization, not experimental validation.</x:v>
      </x:c>
      <x:c r="AR7" s="108" t="str">
        <x:v>BroadSensitivity</x:v>
      </x:c>
      <x:c r="AS7" s="109" t="b">
        <x:v>0</x:v>
      </x:c>
      <x:c r="AT7" s="109" t="b">
        <x:v>0</x:v>
      </x:c>
      <x:c r="AU7" s="109" t="b">
        <x:v>0</x:v>
      </x:c>
      <x:c r="AV7" s="109" t="b">
        <x:v>1</x:v>
      </x:c>
      <x:c r="AW7" s="108" t="str"/>
      <x:c r="AX7" s="113" t="n">
        <x:v>0</x:v>
      </x:c>
      <x:c r="AY7" s="108" t="str"/>
      <x:c r="AZ7" s="113" t="n">
        <x:v>0</x:v>
      </x:c>
      <x:c r="BA7" s="108" t="str">
        <x:v>GeneCards</x:v>
      </x:c>
      <x:c r="BB7" s="113" t="n">
        <x:v>1</x:v>
      </x:c>
      <x:c r="BC7" s="109" t="b">
        <x:v>0</x:v>
      </x:c>
      <x:c r="BD7" s="109" t="b">
        <x:v>0</x:v>
      </x:c>
      <x:c r="BE7" s="109" t="b">
        <x:v>1</x:v>
      </x:c>
      <x:c r="BF7" s="109" t="b">
        <x:v>0</x:v>
      </x:c>
      <x:c r="BG7" s="109" t="b">
        <x:v>0</x:v>
      </x:c>
      <x:c r="BH7" s="109" t="b">
        <x:v>0</x:v>
      </x:c>
      <x:c r="BI7" s="109" t="b">
        <x:v>0</x:v>
      </x:c>
      <x:c r="BJ7" s="109" t="b">
        <x:v>0</x:v>
      </x:c>
      <x:c r="BK7" s="109" t="b">
        <x:v>0</x:v>
      </x:c>
      <x:c r="BL7" s="119" t="n">
        <x:v>1.7358501</x:v>
      </x:c>
      <x:c r="BM7" s="119" t="n">
        <x:v>86</x:v>
      </x:c>
      <x:c r="BN7" s="108" t="str"/>
      <x:c r="BO7" s="108" t="str"/>
      <x:c r="BP7" s="108" t="str"/>
      <x:c r="BQ7" s="108" t="str"/>
      <x:c r="BR7" s="119" t="str"/>
      <x:c r="BS7" s="119" t="str"/>
      <x:c r="BT7" s="113" t="str"/>
      <x:c r="BU7" s="108" t="str">
        <x:v>Disease association evidence; not necessarily causal and not proof of therapeutic relevance.</x:v>
      </x:c>
      <x:c r="BV7" s="108" t="str">
        <x:v>Drug prediction sources: NetInfer (n=1); AIS broad-layer sources: GeneCards (n=1).</x:v>
      </x:c>
      <x:c r="BW7" s="108" t="str">
        <x:v>Computational drug–disease overlap for hypothesis generation only; not experimental validation, causal proof, druggability evidence, or a cytoHubba-defined Hub gene.</x:v>
      </x:c>
    </x:row>
    <x:row r="8" ht="23" customHeight="1">
      <x:c r="A8" s="108" t="str">
        <x:v>MYLK</x:v>
      </x:c>
      <x:c r="B8" s="108" t="str">
        <x:v>Q15746</x:v>
      </x:c>
      <x:c r="C8" s="108" t="str">
        <x:v>Myosin light chain kinase;smooth muscle</x:v>
      </x:c>
      <x:c r="D8" s="108" t="str">
        <x:v>Myosin Light Chain Kinase</x:v>
      </x:c>
      <x:c r="E8" s="108" t="str"/>
      <x:c r="F8" s="108" t="str"/>
      <x:c r="G8" s="108" t="str">
        <x:v>AIS_Entrez_Ensembl_missing</x:v>
      </x:c>
      <x:c r="H8" s="108" t="str">
        <x:v>L4_BroadExploratory</x:v>
      </x:c>
      <x:c r="I8" s="108" t="str">
        <x:v>L4 broad exploratory overlap</x:v>
      </x:c>
      <x:c r="J8" s="109" t="b">
        <x:v>0</x:v>
      </x:c>
      <x:c r="K8" s="109" t="b">
        <x:v>0</x:v>
      </x:c>
      <x:c r="L8" s="109" t="b">
        <x:v>0</x:v>
      </x:c>
      <x:c r="M8" s="109" t="b">
        <x:v>0</x:v>
      </x:c>
      <x:c r="N8" s="109" t="b">
        <x:v>1</x:v>
      </x:c>
      <x:c r="O8" s="108" t="str">
        <x:v>ExtendedPrediction</x:v>
      </x:c>
      <x:c r="P8" s="108" t="str">
        <x:v>PASSTargets</x:v>
      </x:c>
      <x:c r="Q8" s="113" t="n">
        <x:v>1</x:v>
      </x:c>
      <x:c r="R8" s="108" t="str">
        <x:v>PASSTargets</x:v>
      </x:c>
      <x:c r="S8" s="113" t="n">
        <x:v>1</x:v>
      </x:c>
      <x:c r="T8" s="109" t="b">
        <x:v>0</x:v>
      </x:c>
      <x:c r="U8" s="109" t="b">
        <x:v>0</x:v>
      </x:c>
      <x:c r="V8" s="109" t="b">
        <x:v>0</x:v>
      </x:c>
      <x:c r="W8" s="109" t="b">
        <x:v>0</x:v>
      </x:c>
      <x:c r="X8" s="109" t="b">
        <x:v>1</x:v>
      </x:c>
      <x:c r="Y8" s="109" t="b">
        <x:v>0</x:v>
      </x:c>
      <x:c r="Z8" s="109" t="b">
        <x:v>0</x:v>
      </x:c>
      <x:c r="AA8" s="109" t="b">
        <x:v>0</x:v>
      </x:c>
      <x:c r="AB8" s="109" t="b">
        <x:v>0</x:v>
      </x:c>
      <x:c r="AC8" s="109" t="b">
        <x:v>0</x:v>
      </x:c>
      <x:c r="AD8" s="109" t="b">
        <x:v>1</x:v>
      </x:c>
      <x:c r="AE8" s="109" t="b">
        <x:v>0</x:v>
      </x:c>
      <x:c r="AF8" s="116" t="str"/>
      <x:c r="AG8" s="116" t="str"/>
      <x:c r="AH8" s="116" t="str"/>
      <x:c r="AI8" s="119" t="str"/>
      <x:c r="AJ8" s="119" t="str"/>
      <x:c r="AK8" s="119" t="str"/>
      <x:c r="AL8" s="116" t="str"/>
      <x:c r="AM8" s="119" t="n">
        <x:v>0.0759</x:v>
      </x:c>
      <x:c r="AN8" s="119" t="str"/>
      <x:c r="AO8" s="113" t="str"/>
      <x:c r="AP8" s="108" t="str">
        <x:v>Single-source extended prediction; sensitivity analysis only</x:v>
      </x:c>
      <x:c r="AQ8" s="108" t="str">
        <x:v>Prediction evidence only; database repetition is prioritization, not experimental validation.</x:v>
      </x:c>
      <x:c r="AR8" s="108" t="str">
        <x:v>BroadSensitivity</x:v>
      </x:c>
      <x:c r="AS8" s="109" t="b">
        <x:v>0</x:v>
      </x:c>
      <x:c r="AT8" s="109" t="b">
        <x:v>0</x:v>
      </x:c>
      <x:c r="AU8" s="109" t="b">
        <x:v>0</x:v>
      </x:c>
      <x:c r="AV8" s="109" t="b">
        <x:v>1</x:v>
      </x:c>
      <x:c r="AW8" s="108" t="str"/>
      <x:c r="AX8" s="113" t="n">
        <x:v>0</x:v>
      </x:c>
      <x:c r="AY8" s="108" t="str"/>
      <x:c r="AZ8" s="113" t="n">
        <x:v>0</x:v>
      </x:c>
      <x:c r="BA8" s="108" t="str">
        <x:v>GeneCards</x:v>
      </x:c>
      <x:c r="BB8" s="113" t="n">
        <x:v>1</x:v>
      </x:c>
      <x:c r="BC8" s="109" t="b">
        <x:v>0</x:v>
      </x:c>
      <x:c r="BD8" s="109" t="b">
        <x:v>0</x:v>
      </x:c>
      <x:c r="BE8" s="109" t="b">
        <x:v>1</x:v>
      </x:c>
      <x:c r="BF8" s="109" t="b">
        <x:v>0</x:v>
      </x:c>
      <x:c r="BG8" s="109" t="b">
        <x:v>0</x:v>
      </x:c>
      <x:c r="BH8" s="109" t="b">
        <x:v>0</x:v>
      </x:c>
      <x:c r="BI8" s="109" t="b">
        <x:v>0</x:v>
      </x:c>
      <x:c r="BJ8" s="109" t="b">
        <x:v>0</x:v>
      </x:c>
      <x:c r="BK8" s="109" t="b">
        <x:v>0</x:v>
      </x:c>
      <x:c r="BL8" s="119" t="n">
        <x:v>1.3140942</x:v>
      </x:c>
      <x:c r="BM8" s="119" t="n">
        <x:v>100</x:v>
      </x:c>
      <x:c r="BN8" s="108" t="str"/>
      <x:c r="BO8" s="108" t="str"/>
      <x:c r="BP8" s="108" t="str"/>
      <x:c r="BQ8" s="108" t="str"/>
      <x:c r="BR8" s="119" t="str"/>
      <x:c r="BS8" s="119" t="str"/>
      <x:c r="BT8" s="113" t="str"/>
      <x:c r="BU8" s="108" t="str">
        <x:v>Disease association evidence; not necessarily causal and not proof of therapeutic relevance.</x:v>
      </x:c>
      <x:c r="BV8" s="108" t="str">
        <x:v>Drug prediction sources: PASSTargets (n=1); AIS broad-layer sources: GeneCards (n=1).</x:v>
      </x:c>
      <x:c r="BW8" s="108" t="str">
        <x:v>Computational drug–disease overlap for hypothesis generation only; not experimental validation, causal proof, druggability evidence, or a cytoHubba-defined Hub gene.</x:v>
      </x:c>
    </x:row>
    <x:row r="9" ht="23" customHeight="1">
      <x:c r="A9" s="108" t="str">
        <x:v>NFE2L2</x:v>
      </x:c>
      <x:c r="B9" s="108" t="str">
        <x:v>Q16236</x:v>
      </x:c>
      <x:c r="C9" s="108" t="str">
        <x:v>Nuclear factor erythroid 2-related factor 2;Nuclear factor erythroid 2-related factor 2 (NF-E2-related factor 2) (NFE2-related factor 2) (HEBP1) (Nuclear factor;erythroid derived 2;like 2)</x:v>
      </x:c>
      <x:c r="D9" s="108" t="str">
        <x:v>NFE2 Like BZIP Transcription Factor 2</x:v>
      </x:c>
      <x:c r="E9" s="108" t="str">
        <x:v>4780</x:v>
      </x:c>
      <x:c r="F9" s="108" t="str">
        <x:v>ENSG00000116044</x:v>
      </x:c>
      <x:c r="G9" s="108" t="str">
        <x:v>Entrez+Ensembl_available</x:v>
      </x:c>
      <x:c r="H9" s="108" t="str">
        <x:v>L3_MediumExtended</x:v>
      </x:c>
      <x:c r="I9" s="108" t="str">
        <x:v>L3 medium-sensitivity overlap</x:v>
      </x:c>
      <x:c r="J9" s="109" t="b">
        <x:v>0</x:v>
      </x:c>
      <x:c r="K9" s="109" t="b">
        <x:v>0</x:v>
      </x:c>
      <x:c r="L9" s="109" t="b">
        <x:v>0</x:v>
      </x:c>
      <x:c r="M9" s="109" t="b">
        <x:v>1</x:v>
      </x:c>
      <x:c r="N9" s="109" t="b">
        <x:v>1</x:v>
      </x:c>
      <x:c r="O9" s="108" t="str">
        <x:v>CrossDatabasePriority</x:v>
      </x:c>
      <x:c r="P9" s="108" t="str">
        <x:v>NetInfer;PASSTargets</x:v>
      </x:c>
      <x:c r="Q9" s="113" t="n">
        <x:v>2</x:v>
      </x:c>
      <x:c r="R9" s="108" t="str">
        <x:v>NetInfer;PASSTargets</x:v>
      </x:c>
      <x:c r="S9" s="113" t="n">
        <x:v>2</x:v>
      </x:c>
      <x:c r="T9" s="109" t="b">
        <x:v>1</x:v>
      </x:c>
      <x:c r="U9" s="109" t="b">
        <x:v>0</x:v>
      </x:c>
      <x:c r="V9" s="109" t="b">
        <x:v>1</x:v>
      </x:c>
      <x:c r="W9" s="109" t="b">
        <x:v>1</x:v>
      </x:c>
      <x:c r="X9" s="109" t="b">
        <x:v>1</x:v>
      </x:c>
      <x:c r="Y9" s="109" t="b">
        <x:v>0</x:v>
      </x:c>
      <x:c r="Z9" s="109" t="b">
        <x:v>0</x:v>
      </x:c>
      <x:c r="AA9" s="109" t="b">
        <x:v>0</x:v>
      </x:c>
      <x:c r="AB9" s="109" t="b">
        <x:v>0</x:v>
      </x:c>
      <x:c r="AC9" s="109" t="b">
        <x:v>0</x:v>
      </x:c>
      <x:c r="AD9" s="109" t="b">
        <x:v>1</x:v>
      </x:c>
      <x:c r="AE9" s="109" t="b">
        <x:v>1</x:v>
      </x:c>
      <x:c r="AF9" s="116" t="str"/>
      <x:c r="AG9" s="116" t="str"/>
      <x:c r="AH9" s="116" t="str"/>
      <x:c r="AI9" s="119" t="str"/>
      <x:c r="AJ9" s="119" t="str"/>
      <x:c r="AK9" s="119" t="str"/>
      <x:c r="AL9" s="116" t="str"/>
      <x:c r="AM9" s="119" t="n">
        <x:v>0.0137</x:v>
      </x:c>
      <x:c r="AN9" s="119" t="n">
        <x:v>0.994384</x:v>
      </x:c>
      <x:c r="AO9" s="113" t="n">
        <x:v>31</x:v>
      </x:c>
      <x:c r="AP9" s="108" t="str">
        <x:v>Appears in at least two selected sources; not in the strict 25-gene set</x:v>
      </x:c>
      <x:c r="AQ9" s="108" t="str">
        <x:v>Prediction evidence only; database repetition is prioritization, not experimental validation.</x:v>
      </x:c>
      <x:c r="AR9" s="108" t="str">
        <x:v>MediumExtended</x:v>
      </x:c>
      <x:c r="AS9" s="109" t="b">
        <x:v>0</x:v>
      </x:c>
      <x:c r="AT9" s="109" t="b">
        <x:v>0</x:v>
      </x:c>
      <x:c r="AU9" s="109" t="b">
        <x:v>1</x:v>
      </x:c>
      <x:c r="AV9" s="109" t="b">
        <x:v>1</x:v>
      </x:c>
      <x:c r="AW9" s="108" t="str"/>
      <x:c r="AX9" s="113" t="n">
        <x:v>0</x:v>
      </x:c>
      <x:c r="AY9" s="108" t="str">
        <x:v>DisGeNET</x:v>
      </x:c>
      <x:c r="AZ9" s="113" t="n">
        <x:v>1</x:v>
      </x:c>
      <x:c r="BA9" s="108" t="str">
        <x:v>GeneCards;DisGeNET</x:v>
      </x:c>
      <x:c r="BB9" s="113" t="n">
        <x:v>2</x:v>
      </x:c>
      <x:c r="BC9" s="109" t="b">
        <x:v>0</x:v>
      </x:c>
      <x:c r="BD9" s="109" t="b">
        <x:v>0</x:v>
      </x:c>
      <x:c r="BE9" s="109" t="b">
        <x:v>1</x:v>
      </x:c>
      <x:c r="BF9" s="109" t="b">
        <x:v>0</x:v>
      </x:c>
      <x:c r="BG9" s="109" t="b">
        <x:v>0</x:v>
      </x:c>
      <x:c r="BH9" s="109" t="b">
        <x:v>0</x:v>
      </x:c>
      <x:c r="BI9" s="109" t="b">
        <x:v>0</x:v>
      </x:c>
      <x:c r="BJ9" s="109" t="b">
        <x:v>1</x:v>
      </x:c>
      <x:c r="BK9" s="109" t="b">
        <x:v>1</x:v>
      </x:c>
      <x:c r="BL9" s="119" t="n">
        <x:v>1.7654351</x:v>
      </x:c>
      <x:c r="BM9" s="119" t="n">
        <x:v>100</x:v>
      </x:c>
      <x:c r="BN9" s="108" t="str"/>
      <x:c r="BO9" s="108" t="str"/>
      <x:c r="BP9" s="108" t="str"/>
      <x:c r="BQ9" s="108" t="str"/>
      <x:c r="BR9" s="119" t="n">
        <x:v>0.25</x:v>
      </x:c>
      <x:c r="BS9" s="119" t="n">
        <x:v>1</x:v>
      </x:c>
      <x:c r="BT9" s="113" t="n">
        <x:v>2</x:v>
      </x:c>
      <x:c r="BU9" s="108" t="str">
        <x:v>Disease association evidence; not necessarily causal and not proof of therapeutic relevance.</x:v>
      </x:c>
      <x:c r="BV9" s="108" t="str">
        <x:v>Drug prediction sources: NetInfer;PASSTargets (n=2); AIS broad-layer sources: GeneCards;DisGeNET (n=2).</x:v>
      </x:c>
      <x:c r="BW9" s="108" t="str">
        <x:v>Computational drug–disease overlap for hypothesis generation only; not experimental validation, causal proof, druggability evidence, or a cytoHubba-defined Hub gene.</x:v>
      </x:c>
    </x:row>
    <x:row r="10" ht="23" customHeight="1">
      <x:c r="A10" s="108" t="str">
        <x:v>NFKB1</x:v>
      </x:c>
      <x:c r="B10" s="108" t="str">
        <x:v>P19838</x:v>
      </x:c>
      <x:c r="C10" s="108" t="str">
        <x:v>Nuclear factor NF-kappa-B p105 subunit</x:v>
      </x:c>
      <x:c r="D10" s="108" t="str">
        <x:v>Nuclear Factor Kappa B Subunit 1</x:v>
      </x:c>
      <x:c r="E10" s="108" t="str">
        <x:v>4790</x:v>
      </x:c>
      <x:c r="F10" s="108" t="str">
        <x:v>ENSG00000109320</x:v>
      </x:c>
      <x:c r="G10" s="108" t="str">
        <x:v>Entrez+Ensembl_available</x:v>
      </x:c>
      <x:c r="H10" s="108" t="str">
        <x:v>L1_Strict</x:v>
      </x:c>
      <x:c r="I10" s="108" t="str">
        <x:v>L1 highest-specificity overlap and L2 primary anchor</x:v>
      </x:c>
      <x:c r="J10" s="109" t="b">
        <x:v>1</x:v>
      </x:c>
      <x:c r="K10" s="109" t="b">
        <x:v>1</x:v>
      </x:c>
      <x:c r="L10" s="109" t="b">
        <x:v>1</x:v>
      </x:c>
      <x:c r="M10" s="109" t="b">
        <x:v>1</x:v>
      </x:c>
      <x:c r="N10" s="109" t="b">
        <x:v>1</x:v>
      </x:c>
      <x:c r="O10" s="108" t="str">
        <x:v>Strict</x:v>
      </x:c>
      <x:c r="P10" s="108" t="str">
        <x:v>SuperPred</x:v>
      </x:c>
      <x:c r="Q10" s="113" t="n">
        <x:v>1</x:v>
      </x:c>
      <x:c r="R10" s="108" t="str">
        <x:v>SuperPred</x:v>
      </x:c>
      <x:c r="S10" s="113" t="n">
        <x:v>1</x:v>
      </x:c>
      <x:c r="T10" s="109" t="b">
        <x:v>0</x:v>
      </x:c>
      <x:c r="U10" s="109" t="b">
        <x:v>1</x:v>
      </x:c>
      <x:c r="V10" s="109" t="b">
        <x:v>0</x:v>
      </x:c>
      <x:c r="W10" s="109" t="b">
        <x:v>1</x:v>
      </x:c>
      <x:c r="X10" s="109" t="b">
        <x:v>1</x:v>
      </x:c>
      <x:c r="Y10" s="109" t="b">
        <x:v>0</x:v>
      </x:c>
      <x:c r="Z10" s="109" t="b">
        <x:v>1</x:v>
      </x:c>
      <x:c r="AA10" s="109" t="b">
        <x:v>0</x:v>
      </x:c>
      <x:c r="AB10" s="109" t="b">
        <x:v>0</x:v>
      </x:c>
      <x:c r="AC10" s="109" t="b">
        <x:v>0</x:v>
      </x:c>
      <x:c r="AD10" s="109" t="b">
        <x:v>0</x:v>
      </x:c>
      <x:c r="AE10" s="109" t="b">
        <x:v>0</x:v>
      </x:c>
      <x:c r="AF10" s="116" t="str"/>
      <x:c r="AG10" s="116" t="n">
        <x:v>0.8117</x:v>
      </x:c>
      <x:c r="AH10" s="116" t="n">
        <x:v>0.9609</x:v>
      </x:c>
      <x:c r="AI10" s="119" t="str"/>
      <x:c r="AJ10" s="119" t="str"/>
      <x:c r="AK10" s="119" t="str"/>
      <x:c r="AL10" s="116" t="str"/>
      <x:c r="AM10" s="119" t="str"/>
      <x:c r="AN10" s="119" t="str"/>
      <x:c r="AO10" s="113" t="str"/>
      <x:c r="AP10" s="108" t="str">
        <x:v>Meets a strict predictor-specific threshold</x:v>
      </x:c>
      <x:c r="AQ10" s="108" t="str">
        <x:v>Prediction evidence only; database repetition is prioritization, not experimental validation.</x:v>
      </x:c>
      <x:c r="AR10" s="108" t="str">
        <x:v>Strict</x:v>
      </x:c>
      <x:c r="AS10" s="109" t="b">
        <x:v>1</x:v>
      </x:c>
      <x:c r="AT10" s="109" t="b">
        <x:v>1</x:v>
      </x:c>
      <x:c r="AU10" s="109" t="b">
        <x:v>1</x:v>
      </x:c>
      <x:c r="AV10" s="109" t="b">
        <x:v>1</x:v>
      </x:c>
      <x:c r="AW10" s="108" t="str">
        <x:v>GeneCards</x:v>
      </x:c>
      <x:c r="AX10" s="113" t="n">
        <x:v>1</x:v>
      </x:c>
      <x:c r="AY10" s="108" t="str">
        <x:v>GeneCards;DisGeNET</x:v>
      </x:c>
      <x:c r="AZ10" s="113" t="n">
        <x:v>2</x:v>
      </x:c>
      <x:c r="BA10" s="108" t="str">
        <x:v>GeneCards;DisGeNET</x:v>
      </x:c>
      <x:c r="BB10" s="113" t="n">
        <x:v>2</x:v>
      </x:c>
      <x:c r="BC10" s="109" t="b">
        <x:v>1</x:v>
      </x:c>
      <x:c r="BD10" s="109" t="b">
        <x:v>1</x:v>
      </x:c>
      <x:c r="BE10" s="109" t="b">
        <x:v>1</x:v>
      </x:c>
      <x:c r="BF10" s="109" t="b">
        <x:v>0</x:v>
      </x:c>
      <x:c r="BG10" s="109" t="b">
        <x:v>0</x:v>
      </x:c>
      <x:c r="BH10" s="109" t="b">
        <x:v>0</x:v>
      </x:c>
      <x:c r="BI10" s="109" t="b">
        <x:v>0</x:v>
      </x:c>
      <x:c r="BJ10" s="109" t="b">
        <x:v>1</x:v>
      </x:c>
      <x:c r="BK10" s="109" t="b">
        <x:v>1</x:v>
      </x:c>
      <x:c r="BL10" s="119" t="n">
        <x:v>10.322936</x:v>
      </x:c>
      <x:c r="BM10" s="119" t="n">
        <x:v>100</x:v>
      </x:c>
      <x:c r="BN10" s="108" t="str"/>
      <x:c r="BO10" s="108" t="str"/>
      <x:c r="BP10" s="108" t="str"/>
      <x:c r="BQ10" s="108" t="str"/>
      <x:c r="BR10" s="119" t="n">
        <x:v>0.2</x:v>
      </x:c>
      <x:c r="BS10" s="119" t="n">
        <x:v>1</x:v>
      </x:c>
      <x:c r="BT10" s="113" t="n">
        <x:v>5</x:v>
      </x:c>
      <x:c r="BU10" s="108" t="str">
        <x:v>Disease association evidence; not necessarily causal and not proof of therapeutic relevance.</x:v>
      </x:c>
      <x:c r="BV10" s="108" t="str">
        <x:v>Drug prediction sources: SuperPred (n=1); AIS broad-layer sources: GeneCards;DisGeNET (n=2).</x:v>
      </x:c>
      <x:c r="BW10" s="108" t="str">
        <x:v>Computational drug–disease overlap for hypothesis generation only; not experimental validation, causal proof, druggability evidence, or a cytoHubba-defined Hub gene.</x:v>
      </x:c>
    </x:row>
    <x:row r="11" ht="23" customHeight="1">
      <x:c r="A11" s="108" t="str">
        <x:v>RELA</x:v>
      </x:c>
      <x:c r="B11" s="108" t="str">
        <x:v>Q04206</x:v>
      </x:c>
      <x:c r="C11" s="108" t="str">
        <x:v>Transcription factor p65</x:v>
      </x:c>
      <x:c r="D11" s="108" t="str">
        <x:v>RELA Proto-Oncogene, NF-KB Subunit</x:v>
      </x:c>
      <x:c r="E11" s="108" t="str"/>
      <x:c r="F11" s="108" t="str"/>
      <x:c r="G11" s="108" t="str">
        <x:v>AIS_Entrez_Ensembl_missing</x:v>
      </x:c>
      <x:c r="H11" s="108" t="str">
        <x:v>L4_BroadExploratory</x:v>
      </x:c>
      <x:c r="I11" s="108" t="str">
        <x:v>L4 broad exploratory overlap</x:v>
      </x:c>
      <x:c r="J11" s="109" t="b">
        <x:v>0</x:v>
      </x:c>
      <x:c r="K11" s="109" t="b">
        <x:v>0</x:v>
      </x:c>
      <x:c r="L11" s="109" t="b">
        <x:v>0</x:v>
      </x:c>
      <x:c r="M11" s="109" t="b">
        <x:v>0</x:v>
      </x:c>
      <x:c r="N11" s="109" t="b">
        <x:v>1</x:v>
      </x:c>
      <x:c r="O11" s="108" t="str">
        <x:v>ExtendedPrediction</x:v>
      </x:c>
      <x:c r="P11" s="108" t="str">
        <x:v>PASSTargets</x:v>
      </x:c>
      <x:c r="Q11" s="113" t="n">
        <x:v>1</x:v>
      </x:c>
      <x:c r="R11" s="108" t="str">
        <x:v>PASSTargets</x:v>
      </x:c>
      <x:c r="S11" s="113" t="n">
        <x:v>1</x:v>
      </x:c>
      <x:c r="T11" s="109" t="b">
        <x:v>0</x:v>
      </x:c>
      <x:c r="U11" s="109" t="b">
        <x:v>0</x:v>
      </x:c>
      <x:c r="V11" s="109" t="b">
        <x:v>0</x:v>
      </x:c>
      <x:c r="W11" s="109" t="b">
        <x:v>0</x:v>
      </x:c>
      <x:c r="X11" s="109" t="b">
        <x:v>1</x:v>
      </x:c>
      <x:c r="Y11" s="109" t="b">
        <x:v>0</x:v>
      </x:c>
      <x:c r="Z11" s="109" t="b">
        <x:v>0</x:v>
      </x:c>
      <x:c r="AA11" s="109" t="b">
        <x:v>0</x:v>
      </x:c>
      <x:c r="AB11" s="109" t="b">
        <x:v>0</x:v>
      </x:c>
      <x:c r="AC11" s="109" t="b">
        <x:v>0</x:v>
      </x:c>
      <x:c r="AD11" s="109" t="b">
        <x:v>1</x:v>
      </x:c>
      <x:c r="AE11" s="109" t="b">
        <x:v>0</x:v>
      </x:c>
      <x:c r="AF11" s="116" t="str"/>
      <x:c r="AG11" s="116" t="str"/>
      <x:c r="AH11" s="116" t="str"/>
      <x:c r="AI11" s="119" t="str"/>
      <x:c r="AJ11" s="119" t="str"/>
      <x:c r="AK11" s="119" t="str"/>
      <x:c r="AL11" s="116" t="str"/>
      <x:c r="AM11" s="119" t="n">
        <x:v>0.0966</x:v>
      </x:c>
      <x:c r="AN11" s="119" t="str"/>
      <x:c r="AO11" s="113" t="str"/>
      <x:c r="AP11" s="108" t="str">
        <x:v>Single-source extended prediction; sensitivity analysis only</x:v>
      </x:c>
      <x:c r="AQ11" s="108" t="str">
        <x:v>Prediction evidence only; database repetition is prioritization, not experimental validation.</x:v>
      </x:c>
      <x:c r="AR11" s="108" t="str">
        <x:v>BroadSensitivity</x:v>
      </x:c>
      <x:c r="AS11" s="109" t="b">
        <x:v>0</x:v>
      </x:c>
      <x:c r="AT11" s="109" t="b">
        <x:v>0</x:v>
      </x:c>
      <x:c r="AU11" s="109" t="b">
        <x:v>0</x:v>
      </x:c>
      <x:c r="AV11" s="109" t="b">
        <x:v>1</x:v>
      </x:c>
      <x:c r="AW11" s="108" t="str"/>
      <x:c r="AX11" s="113" t="n">
        <x:v>0</x:v>
      </x:c>
      <x:c r="AY11" s="108" t="str"/>
      <x:c r="AZ11" s="113" t="n">
        <x:v>0</x:v>
      </x:c>
      <x:c r="BA11" s="108" t="str">
        <x:v>GeneCards</x:v>
      </x:c>
      <x:c r="BB11" s="113" t="n">
        <x:v>1</x:v>
      </x:c>
      <x:c r="BC11" s="109" t="b">
        <x:v>0</x:v>
      </x:c>
      <x:c r="BD11" s="109" t="b">
        <x:v>0</x:v>
      </x:c>
      <x:c r="BE11" s="109" t="b">
        <x:v>1</x:v>
      </x:c>
      <x:c r="BF11" s="109" t="b">
        <x:v>0</x:v>
      </x:c>
      <x:c r="BG11" s="109" t="b">
        <x:v>0</x:v>
      </x:c>
      <x:c r="BH11" s="109" t="b">
        <x:v>0</x:v>
      </x:c>
      <x:c r="BI11" s="109" t="b">
        <x:v>0</x:v>
      </x:c>
      <x:c r="BJ11" s="109" t="b">
        <x:v>0</x:v>
      </x:c>
      <x:c r="BK11" s="109" t="b">
        <x:v>0</x:v>
      </x:c>
      <x:c r="BL11" s="119" t="n">
        <x:v>1.7358501</x:v>
      </x:c>
      <x:c r="BM11" s="119" t="n">
        <x:v>100</x:v>
      </x:c>
      <x:c r="BN11" s="108" t="str"/>
      <x:c r="BO11" s="108" t="str"/>
      <x:c r="BP11" s="108" t="str"/>
      <x:c r="BQ11" s="108" t="str"/>
      <x:c r="BR11" s="119" t="str"/>
      <x:c r="BS11" s="119" t="str"/>
      <x:c r="BT11" s="113" t="str"/>
      <x:c r="BU11" s="108" t="str">
        <x:v>Disease association evidence; not necessarily causal and not proof of therapeutic relevance.</x:v>
      </x:c>
      <x:c r="BV11" s="108" t="str">
        <x:v>Drug prediction sources: PASSTargets (n=1); AIS broad-layer sources: GeneCards (n=1).</x:v>
      </x:c>
      <x:c r="BW11" s="108" t="str">
        <x:v>Computational drug–disease overlap for hypothesis generation only; not experimental validation, causal proof, druggability evidence, or a cytoHubba-defined Hub gene.</x:v>
      </x:c>
    </x:row>
    <x:row r="12" ht="23" customHeight="1">
      <x:c r="A12" s="108" t="str">
        <x:v>SIRT1</x:v>
      </x:c>
      <x:c r="B12" s="108" t="str">
        <x:v>Q96EB6</x:v>
      </x:c>
      <x:c r="C12" s="108" t="str">
        <x:v>NAD-dependent protein deacetylase sirtuin-1</x:v>
      </x:c>
      <x:c r="D12" s="108" t="str">
        <x:v>Sirtuin 1</x:v>
      </x:c>
      <x:c r="E12" s="108" t="str">
        <x:v>23411</x:v>
      </x:c>
      <x:c r="F12" s="108" t="str">
        <x:v>ENSG00000096717</x:v>
      </x:c>
      <x:c r="G12" s="108" t="str">
        <x:v>Entrez+Ensembl_available</x:v>
      </x:c>
      <x:c r="H12" s="108" t="str">
        <x:v>L3_MediumExtended</x:v>
      </x:c>
      <x:c r="I12" s="108" t="str">
        <x:v>L3 medium-sensitivity overlap</x:v>
      </x:c>
      <x:c r="J12" s="109" t="b">
        <x:v>0</x:v>
      </x:c>
      <x:c r="K12" s="109" t="b">
        <x:v>0</x:v>
      </x:c>
      <x:c r="L12" s="109" t="b">
        <x:v>0</x:v>
      </x:c>
      <x:c r="M12" s="109" t="b">
        <x:v>1</x:v>
      </x:c>
      <x:c r="N12" s="109" t="b">
        <x:v>1</x:v>
      </x:c>
      <x:c r="O12" s="108" t="str">
        <x:v>ExtendedPrediction</x:v>
      </x:c>
      <x:c r="P12" s="108" t="str">
        <x:v>PASSTargets</x:v>
      </x:c>
      <x:c r="Q12" s="113" t="n">
        <x:v>1</x:v>
      </x:c>
      <x:c r="R12" s="108" t="str">
        <x:v>PASSTargets</x:v>
      </x:c>
      <x:c r="S12" s="113" t="n">
        <x:v>1</x:v>
      </x:c>
      <x:c r="T12" s="109" t="b">
        <x:v>0</x:v>
      </x:c>
      <x:c r="U12" s="109" t="b">
        <x:v>0</x:v>
      </x:c>
      <x:c r="V12" s="109" t="b">
        <x:v>0</x:v>
      </x:c>
      <x:c r="W12" s="109" t="b">
        <x:v>0</x:v>
      </x:c>
      <x:c r="X12" s="109" t="b">
        <x:v>1</x:v>
      </x:c>
      <x:c r="Y12" s="109" t="b">
        <x:v>0</x:v>
      </x:c>
      <x:c r="Z12" s="109" t="b">
        <x:v>0</x:v>
      </x:c>
      <x:c r="AA12" s="109" t="b">
        <x:v>0</x:v>
      </x:c>
      <x:c r="AB12" s="109" t="b">
        <x:v>0</x:v>
      </x:c>
      <x:c r="AC12" s="109" t="b">
        <x:v>0</x:v>
      </x:c>
      <x:c r="AD12" s="109" t="b">
        <x:v>1</x:v>
      </x:c>
      <x:c r="AE12" s="109" t="b">
        <x:v>0</x:v>
      </x:c>
      <x:c r="AF12" s="116" t="str"/>
      <x:c r="AG12" s="116" t="str"/>
      <x:c r="AH12" s="116" t="str"/>
      <x:c r="AI12" s="119" t="str"/>
      <x:c r="AJ12" s="119" t="str"/>
      <x:c r="AK12" s="119" t="str"/>
      <x:c r="AL12" s="116" t="str"/>
      <x:c r="AM12" s="119" t="n">
        <x:v>0.4695</x:v>
      </x:c>
      <x:c r="AN12" s="119" t="str"/>
      <x:c r="AO12" s="113" t="str"/>
      <x:c r="AP12" s="108" t="str">
        <x:v>Single-source extended prediction; sensitivity analysis only</x:v>
      </x:c>
      <x:c r="AQ12" s="108" t="str">
        <x:v>Prediction evidence only; database repetition is prioritization, not experimental validation.</x:v>
      </x:c>
      <x:c r="AR12" s="108" t="str">
        <x:v>MediumExtended</x:v>
      </x:c>
      <x:c r="AS12" s="109" t="b">
        <x:v>0</x:v>
      </x:c>
      <x:c r="AT12" s="109" t="b">
        <x:v>0</x:v>
      </x:c>
      <x:c r="AU12" s="109" t="b">
        <x:v>1</x:v>
      </x:c>
      <x:c r="AV12" s="109" t="b">
        <x:v>1</x:v>
      </x:c>
      <x:c r="AW12" s="108" t="str"/>
      <x:c r="AX12" s="113" t="n">
        <x:v>0</x:v>
      </x:c>
      <x:c r="AY12" s="108" t="str">
        <x:v>DisGeNET</x:v>
      </x:c>
      <x:c r="AZ12" s="113" t="n">
        <x:v>1</x:v>
      </x:c>
      <x:c r="BA12" s="108" t="str">
        <x:v>GeneCards;DisGeNET</x:v>
      </x:c>
      <x:c r="BB12" s="113" t="n">
        <x:v>2</x:v>
      </x:c>
      <x:c r="BC12" s="109" t="b">
        <x:v>0</x:v>
      </x:c>
      <x:c r="BD12" s="109" t="b">
        <x:v>0</x:v>
      </x:c>
      <x:c r="BE12" s="109" t="b">
        <x:v>1</x:v>
      </x:c>
      <x:c r="BF12" s="109" t="b">
        <x:v>0</x:v>
      </x:c>
      <x:c r="BG12" s="109" t="b">
        <x:v>0</x:v>
      </x:c>
      <x:c r="BH12" s="109" t="b">
        <x:v>0</x:v>
      </x:c>
      <x:c r="BI12" s="109" t="b">
        <x:v>0</x:v>
      </x:c>
      <x:c r="BJ12" s="109" t="b">
        <x:v>1</x:v>
      </x:c>
      <x:c r="BK12" s="109" t="b">
        <x:v>1</x:v>
      </x:c>
      <x:c r="BL12" s="119" t="n">
        <x:v>2.8048253</x:v>
      </x:c>
      <x:c r="BM12" s="119" t="n">
        <x:v>97</x:v>
      </x:c>
      <x:c r="BN12" s="108" t="str"/>
      <x:c r="BO12" s="108" t="str"/>
      <x:c r="BP12" s="108" t="str"/>
      <x:c r="BQ12" s="108" t="str"/>
      <x:c r="BR12" s="119" t="n">
        <x:v>0.25</x:v>
      </x:c>
      <x:c r="BS12" s="119" t="n">
        <x:v>0.8</x:v>
      </x:c>
      <x:c r="BT12" s="113" t="n">
        <x:v>5</x:v>
      </x:c>
      <x:c r="BU12" s="108" t="str">
        <x:v>Disease association evidence; not necessarily causal and not proof of therapeutic relevance.</x:v>
      </x:c>
      <x:c r="BV12" s="108" t="str">
        <x:v>Drug prediction sources: PASSTargets (n=1); AIS broad-layer sources: GeneCards;DisGeNET (n=2).</x:v>
      </x:c>
      <x:c r="BW12" s="108" t="str">
        <x:v>Computational drug–disease overlap for hypothesis generation only; not experimental validation, causal proof, druggability evidence, or a cytoHubba-defined Hub gene.</x:v>
      </x:c>
    </x:row>
    <x:row r="13" ht="23" customHeight="1">
      <x:c r="A13" s="108" t="str">
        <x:v>SIRT6</x:v>
      </x:c>
      <x:c r="B13" s="108" t="str">
        <x:v>Q8N6T7</x:v>
      </x:c>
      <x:c r="C13" s="108" t="str">
        <x:v>NAD-dependent protein deacylase sirtuin-6</x:v>
      </x:c>
      <x:c r="D13" s="108" t="str">
        <x:v>Sirtuin 6</x:v>
      </x:c>
      <x:c r="E13" s="108" t="str"/>
      <x:c r="F13" s="108" t="str"/>
      <x:c r="G13" s="108" t="str">
        <x:v>AIS_Entrez_Ensembl_missing</x:v>
      </x:c>
      <x:c r="H13" s="108" t="str">
        <x:v>L4_BroadExploratory</x:v>
      </x:c>
      <x:c r="I13" s="108" t="str">
        <x:v>L4 broad exploratory overlap</x:v>
      </x:c>
      <x:c r="J13" s="109" t="b">
        <x:v>0</x:v>
      </x:c>
      <x:c r="K13" s="109" t="b">
        <x:v>0</x:v>
      </x:c>
      <x:c r="L13" s="109" t="b">
        <x:v>0</x:v>
      </x:c>
      <x:c r="M13" s="109" t="b">
        <x:v>0</x:v>
      </x:c>
      <x:c r="N13" s="109" t="b">
        <x:v>1</x:v>
      </x:c>
      <x:c r="O13" s="108" t="str">
        <x:v>ExtendedPrediction</x:v>
      </x:c>
      <x:c r="P13" s="108" t="str">
        <x:v>PASSTargets</x:v>
      </x:c>
      <x:c r="Q13" s="113" t="n">
        <x:v>1</x:v>
      </x:c>
      <x:c r="R13" s="108" t="str">
        <x:v>PASSTargets</x:v>
      </x:c>
      <x:c r="S13" s="113" t="n">
        <x:v>1</x:v>
      </x:c>
      <x:c r="T13" s="109" t="b">
        <x:v>0</x:v>
      </x:c>
      <x:c r="U13" s="109" t="b">
        <x:v>0</x:v>
      </x:c>
      <x:c r="V13" s="109" t="b">
        <x:v>0</x:v>
      </x:c>
      <x:c r="W13" s="109" t="b">
        <x:v>0</x:v>
      </x:c>
      <x:c r="X13" s="109" t="b">
        <x:v>1</x:v>
      </x:c>
      <x:c r="Y13" s="109" t="b">
        <x:v>0</x:v>
      </x:c>
      <x:c r="Z13" s="109" t="b">
        <x:v>0</x:v>
      </x:c>
      <x:c r="AA13" s="109" t="b">
        <x:v>0</x:v>
      </x:c>
      <x:c r="AB13" s="109" t="b">
        <x:v>0</x:v>
      </x:c>
      <x:c r="AC13" s="109" t="b">
        <x:v>0</x:v>
      </x:c>
      <x:c r="AD13" s="109" t="b">
        <x:v>1</x:v>
      </x:c>
      <x:c r="AE13" s="109" t="b">
        <x:v>0</x:v>
      </x:c>
      <x:c r="AF13" s="116" t="str"/>
      <x:c r="AG13" s="116" t="str"/>
      <x:c r="AH13" s="116" t="str"/>
      <x:c r="AI13" s="119" t="str"/>
      <x:c r="AJ13" s="119" t="str"/>
      <x:c r="AK13" s="119" t="str"/>
      <x:c r="AL13" s="116" t="str"/>
      <x:c r="AM13" s="119" t="n">
        <x:v>0.063</x:v>
      </x:c>
      <x:c r="AN13" s="119" t="str"/>
      <x:c r="AO13" s="113" t="str"/>
      <x:c r="AP13" s="108" t="str">
        <x:v>Single-source extended prediction; sensitivity analysis only</x:v>
      </x:c>
      <x:c r="AQ13" s="108" t="str">
        <x:v>Prediction evidence only; database repetition is prioritization, not experimental validation.</x:v>
      </x:c>
      <x:c r="AR13" s="108" t="str">
        <x:v>BroadSensitivity</x:v>
      </x:c>
      <x:c r="AS13" s="109" t="b">
        <x:v>0</x:v>
      </x:c>
      <x:c r="AT13" s="109" t="b">
        <x:v>0</x:v>
      </x:c>
      <x:c r="AU13" s="109" t="b">
        <x:v>0</x:v>
      </x:c>
      <x:c r="AV13" s="109" t="b">
        <x:v>1</x:v>
      </x:c>
      <x:c r="AW13" s="108" t="str"/>
      <x:c r="AX13" s="113" t="n">
        <x:v>0</x:v>
      </x:c>
      <x:c r="AY13" s="108" t="str"/>
      <x:c r="AZ13" s="113" t="n">
        <x:v>0</x:v>
      </x:c>
      <x:c r="BA13" s="108" t="str">
        <x:v>GeneCards</x:v>
      </x:c>
      <x:c r="BB13" s="113" t="n">
        <x:v>1</x:v>
      </x:c>
      <x:c r="BC13" s="109" t="b">
        <x:v>0</x:v>
      </x:c>
      <x:c r="BD13" s="109" t="b">
        <x:v>0</x:v>
      </x:c>
      <x:c r="BE13" s="109" t="b">
        <x:v>1</x:v>
      </x:c>
      <x:c r="BF13" s="109" t="b">
        <x:v>0</x:v>
      </x:c>
      <x:c r="BG13" s="109" t="b">
        <x:v>0</x:v>
      </x:c>
      <x:c r="BH13" s="109" t="b">
        <x:v>0</x:v>
      </x:c>
      <x:c r="BI13" s="109" t="b">
        <x:v>0</x:v>
      </x:c>
      <x:c r="BJ13" s="109" t="b">
        <x:v>0</x:v>
      </x:c>
      <x:c r="BK13" s="109" t="b">
        <x:v>0</x:v>
      </x:c>
      <x:c r="BL13" s="119" t="n">
        <x:v>1.7358501</x:v>
      </x:c>
      <x:c r="BM13" s="119" t="n">
        <x:v>89</x:v>
      </x:c>
      <x:c r="BN13" s="108" t="str"/>
      <x:c r="BO13" s="108" t="str"/>
      <x:c r="BP13" s="108" t="str"/>
      <x:c r="BQ13" s="108" t="str"/>
      <x:c r="BR13" s="119" t="str"/>
      <x:c r="BS13" s="119" t="str"/>
      <x:c r="BT13" s="113" t="str"/>
      <x:c r="BU13" s="108" t="str">
        <x:v>Disease association evidence; not necessarily causal and not proof of therapeutic relevance.</x:v>
      </x:c>
      <x:c r="BV13" s="108" t="str">
        <x:v>Drug prediction sources: PASSTargets (n=1); AIS broad-layer sources: GeneCards (n=1).</x:v>
      </x:c>
      <x:c r="BW13" s="108" t="str">
        <x:v>Computational drug–disease overlap for hypothesis generation only; not experimental validation, causal proof, druggability evidence, or a cytoHubba-defined Hub gene.</x:v>
      </x:c>
    </x:row>
    <x:row r="14" ht="23" customHeight="1">
      <x:c r="A14" s="108" t="str">
        <x:v>SLC5A2</x:v>
      </x:c>
      <x:c r="B14" s="108" t="str">
        <x:v>P31639</x:v>
      </x:c>
      <x:c r="C14" s="108" t="str">
        <x:v>Sodium/glucose cotransporter 2;Sodium/glucose cotransporter 2 (Na(+)/glucose cotransporter 2) (Low affinity sodium-glucose cotransporter) (Solute carrier family 5 member 2)</x:v>
      </x:c>
      <x:c r="D14" s="108" t="str">
        <x:v>Solute Carrier Family 5 Member 2</x:v>
      </x:c>
      <x:c r="E14" s="108" t="str"/>
      <x:c r="F14" s="108" t="str"/>
      <x:c r="G14" s="108" t="str">
        <x:v>AIS_Entrez_Ensembl_missing</x:v>
      </x:c>
      <x:c r="H14" s="108" t="str">
        <x:v>L4_BroadExploratory</x:v>
      </x:c>
      <x:c r="I14" s="108" t="str">
        <x:v>L4 broad exploratory overlap</x:v>
      </x:c>
      <x:c r="J14" s="109" t="b">
        <x:v>0</x:v>
      </x:c>
      <x:c r="K14" s="109" t="b">
        <x:v>0</x:v>
      </x:c>
      <x:c r="L14" s="109" t="b">
        <x:v>0</x:v>
      </x:c>
      <x:c r="M14" s="109" t="b">
        <x:v>0</x:v>
      </x:c>
      <x:c r="N14" s="109" t="b">
        <x:v>1</x:v>
      </x:c>
      <x:c r="O14" s="108" t="str">
        <x:v>CrossDatabasePriority</x:v>
      </x:c>
      <x:c r="P14" s="108" t="str">
        <x:v>NetInfer;PASSTargets</x:v>
      </x:c>
      <x:c r="Q14" s="113" t="n">
        <x:v>2</x:v>
      </x:c>
      <x:c r="R14" s="108" t="str">
        <x:v>NetInfer;PASSTargets</x:v>
      </x:c>
      <x:c r="S14" s="113" t="n">
        <x:v>2</x:v>
      </x:c>
      <x:c r="T14" s="109" t="b">
        <x:v>1</x:v>
      </x:c>
      <x:c r="U14" s="109" t="b">
        <x:v>0</x:v>
      </x:c>
      <x:c r="V14" s="109" t="b">
        <x:v>1</x:v>
      </x:c>
      <x:c r="W14" s="109" t="b">
        <x:v>1</x:v>
      </x:c>
      <x:c r="X14" s="109" t="b">
        <x:v>1</x:v>
      </x:c>
      <x:c r="Y14" s="109" t="b">
        <x:v>0</x:v>
      </x:c>
      <x:c r="Z14" s="109" t="b">
        <x:v>0</x:v>
      </x:c>
      <x:c r="AA14" s="109" t="b">
        <x:v>0</x:v>
      </x:c>
      <x:c r="AB14" s="109" t="b">
        <x:v>0</x:v>
      </x:c>
      <x:c r="AC14" s="109" t="b">
        <x:v>0</x:v>
      </x:c>
      <x:c r="AD14" s="109" t="b">
        <x:v>1</x:v>
      </x:c>
      <x:c r="AE14" s="109" t="b">
        <x:v>1</x:v>
      </x:c>
      <x:c r="AF14" s="116" t="str"/>
      <x:c r="AG14" s="116" t="str"/>
      <x:c r="AH14" s="116" t="str"/>
      <x:c r="AI14" s="119" t="str"/>
      <x:c r="AJ14" s="119" t="str"/>
      <x:c r="AK14" s="119" t="str"/>
      <x:c r="AL14" s="116" t="str"/>
      <x:c r="AM14" s="119" t="n">
        <x:v>0.021</x:v>
      </x:c>
      <x:c r="AN14" s="119" t="n">
        <x:v>0.981711</x:v>
      </x:c>
      <x:c r="AO14" s="113" t="n">
        <x:v>33</x:v>
      </x:c>
      <x:c r="AP14" s="108" t="str">
        <x:v>Appears in at least two selected sources; not in the strict 25-gene set</x:v>
      </x:c>
      <x:c r="AQ14" s="108" t="str">
        <x:v>Prediction evidence only; database repetition is prioritization, not experimental validation.</x:v>
      </x:c>
      <x:c r="AR14" s="108" t="str">
        <x:v>BroadSensitivity</x:v>
      </x:c>
      <x:c r="AS14" s="109" t="b">
        <x:v>0</x:v>
      </x:c>
      <x:c r="AT14" s="109" t="b">
        <x:v>0</x:v>
      </x:c>
      <x:c r="AU14" s="109" t="b">
        <x:v>0</x:v>
      </x:c>
      <x:c r="AV14" s="109" t="b">
        <x:v>1</x:v>
      </x:c>
      <x:c r="AW14" s="108" t="str"/>
      <x:c r="AX14" s="113" t="n">
        <x:v>0</x:v>
      </x:c>
      <x:c r="AY14" s="108" t="str"/>
      <x:c r="AZ14" s="113" t="n">
        <x:v>0</x:v>
      </x:c>
      <x:c r="BA14" s="108" t="str">
        <x:v>GeneCards</x:v>
      </x:c>
      <x:c r="BB14" s="113" t="n">
        <x:v>1</x:v>
      </x:c>
      <x:c r="BC14" s="109" t="b">
        <x:v>0</x:v>
      </x:c>
      <x:c r="BD14" s="109" t="b">
        <x:v>0</x:v>
      </x:c>
      <x:c r="BE14" s="109" t="b">
        <x:v>1</x:v>
      </x:c>
      <x:c r="BF14" s="109" t="b">
        <x:v>0</x:v>
      </x:c>
      <x:c r="BG14" s="109" t="b">
        <x:v>0</x:v>
      </x:c>
      <x:c r="BH14" s="109" t="b">
        <x:v>0</x:v>
      </x:c>
      <x:c r="BI14" s="109" t="b">
        <x:v>0</x:v>
      </x:c>
      <x:c r="BJ14" s="109" t="b">
        <x:v>0</x:v>
      </x:c>
      <x:c r="BK14" s="109" t="b">
        <x:v>0</x:v>
      </x:c>
      <x:c r="BL14" s="119" t="n">
        <x:v>1.7934362</x:v>
      </x:c>
      <x:c r="BM14" s="119" t="n">
        <x:v>91</x:v>
      </x:c>
      <x:c r="BN14" s="108" t="str"/>
      <x:c r="BO14" s="108" t="str"/>
      <x:c r="BP14" s="108" t="str"/>
      <x:c r="BQ14" s="108" t="str"/>
      <x:c r="BR14" s="119" t="str"/>
      <x:c r="BS14" s="119" t="str"/>
      <x:c r="BT14" s="113" t="str"/>
      <x:c r="BU14" s="108" t="str">
        <x:v>Disease association evidence; not necessarily causal and not proof of therapeutic relevance.</x:v>
      </x:c>
      <x:c r="BV14" s="108" t="str">
        <x:v>Drug prediction sources: NetInfer;PASSTargets (n=2); AIS broad-layer sources: GeneCards (n=1).</x:v>
      </x:c>
      <x:c r="BW14" s="108" t="str">
        <x:v>Computational drug–disease overlap for hypothesis generation only; not experimental validation, causal proof, druggability evidence, or a cytoHubba-defined Hub gene.</x:v>
      </x:c>
    </x:row>
    <x:row r="15" ht="23" customHeight="1">
      <x:c r="A15" s="108" t="str">
        <x:v>SLCO1B1</x:v>
      </x:c>
      <x:c r="B15" s="108" t="str">
        <x:v>Q9Y6L6</x:v>
      </x:c>
      <x:c r="C15" s="108" t="str">
        <x:v>Solute carrier organic anion transporter family member 1B1</x:v>
      </x:c>
      <x:c r="D15" s="108" t="str">
        <x:v>Solute Carrier Organic Anion Transporter Family Member 1B1</x:v>
      </x:c>
      <x:c r="E15" s="108" t="str"/>
      <x:c r="F15" s="108" t="str"/>
      <x:c r="G15" s="108" t="str">
        <x:v>AIS_Entrez_Ensembl_missing</x:v>
      </x:c>
      <x:c r="H15" s="108" t="str">
        <x:v>L4_BroadExploratory</x:v>
      </x:c>
      <x:c r="I15" s="108" t="str">
        <x:v>L4 broad exploratory overlap</x:v>
      </x:c>
      <x:c r="J15" s="109" t="b">
        <x:v>0</x:v>
      </x:c>
      <x:c r="K15" s="109" t="b">
        <x:v>0</x:v>
      </x:c>
      <x:c r="L15" s="109" t="b">
        <x:v>0</x:v>
      </x:c>
      <x:c r="M15" s="109" t="b">
        <x:v>0</x:v>
      </x:c>
      <x:c r="N15" s="109" t="b">
        <x:v>1</x:v>
      </x:c>
      <x:c r="O15" s="108" t="str">
        <x:v>Strict</x:v>
      </x:c>
      <x:c r="P15" s="108" t="str">
        <x:v>PPB3</x:v>
      </x:c>
      <x:c r="Q15" s="113" t="n">
        <x:v>1</x:v>
      </x:c>
      <x:c r="R15" s="108" t="str">
        <x:v>PPB3</x:v>
      </x:c>
      <x:c r="S15" s="113" t="n">
        <x:v>1</x:v>
      </x:c>
      <x:c r="T15" s="109" t="b">
        <x:v>0</x:v>
      </x:c>
      <x:c r="U15" s="109" t="b">
        <x:v>1</x:v>
      </x:c>
      <x:c r="V15" s="109" t="b">
        <x:v>0</x:v>
      </x:c>
      <x:c r="W15" s="109" t="b">
        <x:v>1</x:v>
      </x:c>
      <x:c r="X15" s="109" t="b">
        <x:v>1</x:v>
      </x:c>
      <x:c r="Y15" s="109" t="b">
        <x:v>0</x:v>
      </x:c>
      <x:c r="Z15" s="109" t="b">
        <x:v>0</x:v>
      </x:c>
      <x:c r="AA15" s="109" t="b">
        <x:v>0</x:v>
      </x:c>
      <x:c r="AB15" s="109" t="b">
        <x:v>1</x:v>
      </x:c>
      <x:c r="AC15" s="109" t="b">
        <x:v>0</x:v>
      </x:c>
      <x:c r="AD15" s="109" t="b">
        <x:v>0</x:v>
      </x:c>
      <x:c r="AE15" s="109" t="b">
        <x:v>0</x:v>
      </x:c>
      <x:c r="AF15" s="116" t="str"/>
      <x:c r="AG15" s="116" t="str"/>
      <x:c r="AH15" s="116" t="str"/>
      <x:c r="AI15" s="119" t="str"/>
      <x:c r="AJ15" s="119" t="str"/>
      <x:c r="AK15" s="119" t="n">
        <x:v>0.41</x:v>
      </x:c>
      <x:c r="AL15" s="116" t="str"/>
      <x:c r="AM15" s="119" t="str"/>
      <x:c r="AN15" s="119" t="str"/>
      <x:c r="AO15" s="113" t="str"/>
      <x:c r="AP15" s="108" t="str">
        <x:v>Meets a strict predictor-specific threshold</x:v>
      </x:c>
      <x:c r="AQ15" s="108" t="str">
        <x:v>Prediction evidence only; database repetition is prioritization, not experimental validation.</x:v>
      </x:c>
      <x:c r="AR15" s="108" t="str">
        <x:v>BroadSensitivity</x:v>
      </x:c>
      <x:c r="AS15" s="109" t="b">
        <x:v>0</x:v>
      </x:c>
      <x:c r="AT15" s="109" t="b">
        <x:v>0</x:v>
      </x:c>
      <x:c r="AU15" s="109" t="b">
        <x:v>0</x:v>
      </x:c>
      <x:c r="AV15" s="109" t="b">
        <x:v>1</x:v>
      </x:c>
      <x:c r="AW15" s="108" t="str"/>
      <x:c r="AX15" s="113" t="n">
        <x:v>0</x:v>
      </x:c>
      <x:c r="AY15" s="108" t="str"/>
      <x:c r="AZ15" s="113" t="n">
        <x:v>0</x:v>
      </x:c>
      <x:c r="BA15" s="108" t="str">
        <x:v>GeneCards</x:v>
      </x:c>
      <x:c r="BB15" s="113" t="n">
        <x:v>1</x:v>
      </x:c>
      <x:c r="BC15" s="109" t="b">
        <x:v>0</x:v>
      </x:c>
      <x:c r="BD15" s="109" t="b">
        <x:v>0</x:v>
      </x:c>
      <x:c r="BE15" s="109" t="b">
        <x:v>1</x:v>
      </x:c>
      <x:c r="BF15" s="109" t="b">
        <x:v>0</x:v>
      </x:c>
      <x:c r="BG15" s="109" t="b">
        <x:v>0</x:v>
      </x:c>
      <x:c r="BH15" s="109" t="b">
        <x:v>0</x:v>
      </x:c>
      <x:c r="BI15" s="109" t="b">
        <x:v>0</x:v>
      </x:c>
      <x:c r="BJ15" s="109" t="b">
        <x:v>0</x:v>
      </x:c>
      <x:c r="BK15" s="109" t="b">
        <x:v>0</x:v>
      </x:c>
      <x:c r="BL15" s="119" t="n">
        <x:v>1.8315511</x:v>
      </x:c>
      <x:c r="BM15" s="119" t="n">
        <x:v>100</x:v>
      </x:c>
      <x:c r="BN15" s="108" t="str"/>
      <x:c r="BO15" s="108" t="str"/>
      <x:c r="BP15" s="108" t="str"/>
      <x:c r="BQ15" s="108" t="str"/>
      <x:c r="BR15" s="119" t="str"/>
      <x:c r="BS15" s="119" t="str"/>
      <x:c r="BT15" s="113" t="str"/>
      <x:c r="BU15" s="108" t="str">
        <x:v>Disease association evidence; not necessarily causal and not proof of therapeutic relevance.</x:v>
      </x:c>
      <x:c r="BV15" s="108" t="str">
        <x:v>Drug prediction sources: PPB3 (n=1); AIS broad-layer sources: GeneCards (n=1).</x:v>
      </x:c>
      <x:c r="BW15" s="108" t="str">
        <x:v>Computational drug–disease overlap for hypothesis generation only; not experimental validation, causal proof, druggability evidence, or a cytoHubba-defined Hub gene.</x:v>
      </x:c>
    </x:row>
    <x:row r="16" ht="23" customHeight="1">
      <x:c r="A16" s="108" t="str">
        <x:v>SRC</x:v>
      </x:c>
      <x:c r="B16" s="108" t="str">
        <x:v>P12931</x:v>
      </x:c>
      <x:c r="C16" s="108" t="str">
        <x:v>Proto-oncogene tyrosine-protein kinase Src</x:v>
      </x:c>
      <x:c r="D16" s="108" t="str">
        <x:v>SRC Proto-Oncogene, Non-Receptor Tyrosine Kinase</x:v>
      </x:c>
      <x:c r="E16" s="108" t="str"/>
      <x:c r="F16" s="108" t="str"/>
      <x:c r="G16" s="108" t="str">
        <x:v>AIS_Entrez_Ensembl_missing</x:v>
      </x:c>
      <x:c r="H16" s="108" t="str">
        <x:v>L4_BroadExploratory</x:v>
      </x:c>
      <x:c r="I16" s="108" t="str">
        <x:v>L4 broad exploratory overlap</x:v>
      </x:c>
      <x:c r="J16" s="109" t="b">
        <x:v>0</x:v>
      </x:c>
      <x:c r="K16" s="109" t="b">
        <x:v>0</x:v>
      </x:c>
      <x:c r="L16" s="109" t="b">
        <x:v>0</x:v>
      </x:c>
      <x:c r="M16" s="109" t="b">
        <x:v>0</x:v>
      </x:c>
      <x:c r="N16" s="109" t="b">
        <x:v>1</x:v>
      </x:c>
      <x:c r="O16" s="108" t="str">
        <x:v>ExtendedPrediction</x:v>
      </x:c>
      <x:c r="P16" s="108" t="str">
        <x:v>PharmMapper</x:v>
      </x:c>
      <x:c r="Q16" s="113" t="n">
        <x:v>1</x:v>
      </x:c>
      <x:c r="R16" s="108" t="str">
        <x:v>PharmMapper</x:v>
      </x:c>
      <x:c r="S16" s="113" t="n">
        <x:v>1</x:v>
      </x:c>
      <x:c r="T16" s="109" t="b">
        <x:v>0</x:v>
      </x:c>
      <x:c r="U16" s="109" t="b">
        <x:v>0</x:v>
      </x:c>
      <x:c r="V16" s="109" t="b">
        <x:v>0</x:v>
      </x:c>
      <x:c r="W16" s="109" t="b">
        <x:v>0</x:v>
      </x:c>
      <x:c r="X16" s="109" t="b">
        <x:v>1</x:v>
      </x:c>
      <x:c r="Y16" s="109" t="b">
        <x:v>0</x:v>
      </x:c>
      <x:c r="Z16" s="109" t="b">
        <x:v>0</x:v>
      </x:c>
      <x:c r="AA16" s="109" t="b">
        <x:v>1</x:v>
      </x:c>
      <x:c r="AB16" s="109" t="b">
        <x:v>0</x:v>
      </x:c>
      <x:c r="AC16" s="109" t="b">
        <x:v>0</x:v>
      </x:c>
      <x:c r="AD16" s="109" t="b">
        <x:v>0</x:v>
      </x:c>
      <x:c r="AE16" s="109" t="b">
        <x:v>0</x:v>
      </x:c>
      <x:c r="AF16" s="116" t="str"/>
      <x:c r="AG16" s="116" t="str"/>
      <x:c r="AH16" s="116" t="str"/>
      <x:c r="AI16" s="119" t="n">
        <x:v>0.7238</x:v>
      </x:c>
      <x:c r="AJ16" s="119" t="n">
        <x:v>0.748216</x:v>
      </x:c>
      <x:c r="AK16" s="119" t="str"/>
      <x:c r="AL16" s="116" t="str"/>
      <x:c r="AM16" s="119" t="str"/>
      <x:c r="AN16" s="119" t="str"/>
      <x:c r="AO16" s="113" t="str"/>
      <x:c r="AP16" s="108" t="str">
        <x:v>Single-source extended prediction; sensitivity analysis only</x:v>
      </x:c>
      <x:c r="AQ16" s="108" t="str">
        <x:v>Prediction evidence only; database repetition is prioritization, not experimental validation.</x:v>
      </x:c>
      <x:c r="AR16" s="108" t="str">
        <x:v>BroadSensitivity</x:v>
      </x:c>
      <x:c r="AS16" s="109" t="b">
        <x:v>0</x:v>
      </x:c>
      <x:c r="AT16" s="109" t="b">
        <x:v>0</x:v>
      </x:c>
      <x:c r="AU16" s="109" t="b">
        <x:v>0</x:v>
      </x:c>
      <x:c r="AV16" s="109" t="b">
        <x:v>1</x:v>
      </x:c>
      <x:c r="AW16" s="108" t="str"/>
      <x:c r="AX16" s="113" t="n">
        <x:v>0</x:v>
      </x:c>
      <x:c r="AY16" s="108" t="str"/>
      <x:c r="AZ16" s="113" t="n">
        <x:v>0</x:v>
      </x:c>
      <x:c r="BA16" s="108" t="str">
        <x:v>GeneCards</x:v>
      </x:c>
      <x:c r="BB16" s="113" t="n">
        <x:v>1</x:v>
      </x:c>
      <x:c r="BC16" s="109" t="b">
        <x:v>0</x:v>
      </x:c>
      <x:c r="BD16" s="109" t="b">
        <x:v>0</x:v>
      </x:c>
      <x:c r="BE16" s="109" t="b">
        <x:v>1</x:v>
      </x:c>
      <x:c r="BF16" s="109" t="b">
        <x:v>0</x:v>
      </x:c>
      <x:c r="BG16" s="109" t="b">
        <x:v>0</x:v>
      </x:c>
      <x:c r="BH16" s="109" t="b">
        <x:v>0</x:v>
      </x:c>
      <x:c r="BI16" s="109" t="b">
        <x:v>0</x:v>
      </x:c>
      <x:c r="BJ16" s="109" t="b">
        <x:v>0</x:v>
      </x:c>
      <x:c r="BK16" s="109" t="b">
        <x:v>0</x:v>
      </x:c>
      <x:c r="BL16" s="119" t="n">
        <x:v>1.6111301</x:v>
      </x:c>
      <x:c r="BM16" s="119" t="n">
        <x:v>97</x:v>
      </x:c>
      <x:c r="BN16" s="108" t="str"/>
      <x:c r="BO16" s="108" t="str"/>
      <x:c r="BP16" s="108" t="str"/>
      <x:c r="BQ16" s="108" t="str"/>
      <x:c r="BR16" s="119" t="str"/>
      <x:c r="BS16" s="119" t="str"/>
      <x:c r="BT16" s="113" t="str"/>
      <x:c r="BU16" s="108" t="str">
        <x:v>Disease association evidence; not necessarily causal and not proof of therapeutic relevance.</x:v>
      </x:c>
      <x:c r="BV16" s="108" t="str">
        <x:v>Drug prediction sources: PharmMapper (n=1); AIS broad-layer sources: GeneCards (n=1).</x:v>
      </x:c>
      <x:c r="BW16" s="108" t="str">
        <x:v>Computational drug–disease overlap for hypothesis generation only; not experimental validation, causal proof, druggability evidence, or a cytoHubba-defined Hub gene.</x:v>
      </x:c>
    </x:row>
    <x:row r="17" ht="23" customHeight="1">
      <x:c r="A17" s="110" t="str">
        <x:v>TNF</x:v>
      </x:c>
      <x:c r="B17" s="110" t="str">
        <x:v>P01375</x:v>
      </x:c>
      <x:c r="C17" s="110" t="str">
        <x:v>Tumor necrosis factor</x:v>
      </x:c>
      <x:c r="D17" s="110" t="str">
        <x:v>Tumor Necrosis Factor</x:v>
      </x:c>
      <x:c r="E17" s="110" t="str">
        <x:v>7124</x:v>
      </x:c>
      <x:c r="F17" s="110" t="str">
        <x:v>ENSG00000232810</x:v>
      </x:c>
      <x:c r="G17" s="110" t="str">
        <x:v>Entrez+Ensembl_available</x:v>
      </x:c>
      <x:c r="H17" s="110" t="str">
        <x:v>L3_MediumExtended</x:v>
      </x:c>
      <x:c r="I17" s="110" t="str">
        <x:v>L3 medium-sensitivity overlap</x:v>
      </x:c>
      <x:c r="J17" s="111" t="b">
        <x:v>0</x:v>
      </x:c>
      <x:c r="K17" s="111" t="b">
        <x:v>0</x:v>
      </x:c>
      <x:c r="L17" s="111" t="b">
        <x:v>0</x:v>
      </x:c>
      <x:c r="M17" s="111" t="b">
        <x:v>1</x:v>
      </x:c>
      <x:c r="N17" s="111" t="b">
        <x:v>1</x:v>
      </x:c>
      <x:c r="O17" s="110" t="str">
        <x:v>ExtendedPrediction</x:v>
      </x:c>
      <x:c r="P17" s="110" t="str">
        <x:v>PASSTargets</x:v>
      </x:c>
      <x:c r="Q17" s="114" t="n">
        <x:v>1</x:v>
      </x:c>
      <x:c r="R17" s="110" t="str">
        <x:v>PASSTargets</x:v>
      </x:c>
      <x:c r="S17" s="114" t="n">
        <x:v>1</x:v>
      </x:c>
      <x:c r="T17" s="111" t="b">
        <x:v>0</x:v>
      </x:c>
      <x:c r="U17" s="111" t="b">
        <x:v>0</x:v>
      </x:c>
      <x:c r="V17" s="111" t="b">
        <x:v>0</x:v>
      </x:c>
      <x:c r="W17" s="111" t="b">
        <x:v>0</x:v>
      </x:c>
      <x:c r="X17" s="111" t="b">
        <x:v>1</x:v>
      </x:c>
      <x:c r="Y17" s="111" t="b">
        <x:v>0</x:v>
      </x:c>
      <x:c r="Z17" s="111" t="b">
        <x:v>0</x:v>
      </x:c>
      <x:c r="AA17" s="111" t="b">
        <x:v>0</x:v>
      </x:c>
      <x:c r="AB17" s="111" t="b">
        <x:v>0</x:v>
      </x:c>
      <x:c r="AC17" s="111" t="b">
        <x:v>0</x:v>
      </x:c>
      <x:c r="AD17" s="111" t="b">
        <x:v>1</x:v>
      </x:c>
      <x:c r="AE17" s="111" t="b">
        <x:v>0</x:v>
      </x:c>
      <x:c r="AF17" s="117" t="str"/>
      <x:c r="AG17" s="117" t="str"/>
      <x:c r="AH17" s="117" t="str"/>
      <x:c r="AI17" s="120" t="str"/>
      <x:c r="AJ17" s="120" t="str"/>
      <x:c r="AK17" s="120" t="str"/>
      <x:c r="AL17" s="117" t="str"/>
      <x:c r="AM17" s="120" t="n">
        <x:v>0.1438</x:v>
      </x:c>
      <x:c r="AN17" s="120" t="str"/>
      <x:c r="AO17" s="114" t="str"/>
      <x:c r="AP17" s="110" t="str">
        <x:v>Single-source extended prediction; sensitivity analysis only</x:v>
      </x:c>
      <x:c r="AQ17" s="110" t="str">
        <x:v>Prediction evidence only; database repetition is prioritization, not experimental validation.</x:v>
      </x:c>
      <x:c r="AR17" s="110" t="str">
        <x:v>Strict</x:v>
      </x:c>
      <x:c r="AS17" s="111" t="b">
        <x:v>1</x:v>
      </x:c>
      <x:c r="AT17" s="111" t="b">
        <x:v>1</x:v>
      </x:c>
      <x:c r="AU17" s="111" t="b">
        <x:v>1</x:v>
      </x:c>
      <x:c r="AV17" s="111" t="b">
        <x:v>1</x:v>
      </x:c>
      <x:c r="AW17" s="110" t="str">
        <x:v>GeneCards;DisGeNET</x:v>
      </x:c>
      <x:c r="AX17" s="114" t="n">
        <x:v>2</x:v>
      </x:c>
      <x:c r="AY17" s="110" t="str">
        <x:v>GeneCards;DisGeNET</x:v>
      </x:c>
      <x:c r="AZ17" s="114" t="n">
        <x:v>2</x:v>
      </x:c>
      <x:c r="BA17" s="110" t="str">
        <x:v>GeneCards;DisGeNET</x:v>
      </x:c>
      <x:c r="BB17" s="114" t="n">
        <x:v>2</x:v>
      </x:c>
      <x:c r="BC17" s="111" t="b">
        <x:v>0</x:v>
      </x:c>
      <x:c r="BD17" s="111" t="b">
        <x:v>1</x:v>
      </x:c>
      <x:c r="BE17" s="111" t="b">
        <x:v>1</x:v>
      </x:c>
      <x:c r="BF17" s="111" t="b">
        <x:v>0</x:v>
      </x:c>
      <x:c r="BG17" s="111" t="b">
        <x:v>0</x:v>
      </x:c>
      <x:c r="BH17" s="111" t="b">
        <x:v>0</x:v>
      </x:c>
      <x:c r="BI17" s="111" t="b">
        <x:v>1</x:v>
      </x:c>
      <x:c r="BJ17" s="111" t="b">
        <x:v>1</x:v>
      </x:c>
      <x:c r="BK17" s="111" t="b">
        <x:v>1</x:v>
      </x:c>
      <x:c r="BL17" s="120" t="n">
        <x:v>3.3012965</x:v>
      </x:c>
      <x:c r="BM17" s="120" t="n">
        <x:v>91</x:v>
      </x:c>
      <x:c r="BN17" s="110" t="str"/>
      <x:c r="BO17" s="110" t="str"/>
      <x:c r="BP17" s="110" t="str"/>
      <x:c r="BQ17" s="110" t="str"/>
      <x:c r="BR17" s="120" t="n">
        <x:v>0.3</x:v>
      </x:c>
      <x:c r="BS17" s="120" t="n">
        <x:v>0.8235294117647058</x:v>
      </x:c>
      <x:c r="BT17" s="114" t="n">
        <x:v>17</x:v>
      </x:c>
      <x:c r="BU17" s="110" t="str">
        <x:v>Disease association evidence; not necessarily causal and not proof of therapeutic relevance.</x:v>
      </x:c>
      <x:c r="BV17" s="110" t="str">
        <x:v>Drug prediction sources: PASSTargets (n=1); AIS broad-layer sources: GeneCards;DisGeNET (n=2).</x:v>
      </x:c>
      <x:c r="BW17" s="110" t="str">
        <x:v>Computational drug–disease overlap for hypothesis generation only; not experimental validation, causal proof, druggability evidence, or a cytoHubba-defined Hub gene.</x:v>
      </x:c>
    </x:row>
  </x:sheetData>
  <x:conditionalFormatting sqref="J2:J17">
    <x:cfRule type="cellIs" dxfId="26" priority="1" operator="equal">
      <x:formula>TRUE</x:formula>
    </x:cfRule>
  </x:conditionalFormatting>
  <x:conditionalFormatting sqref="K2:K17">
    <x:cfRule type="cellIs" dxfId="27" priority="2" operator="equal">
      <x:formula>TRUE</x:formula>
    </x:cfRule>
  </x:conditionalFormatting>
  <x:conditionalFormatting sqref="L2:L17">
    <x:cfRule type="cellIs" dxfId="28" priority="3" operator="equal">
      <x:formula>TRUE</x:formula>
    </x:cfRule>
  </x:conditionalFormatting>
  <x:conditionalFormatting sqref="M2:M17">
    <x:cfRule type="cellIs" dxfId="29" priority="4" operator="equal">
      <x:formula>TRUE</x:formula>
    </x:cfRule>
  </x:conditionalFormatting>
  <x:conditionalFormatting sqref="N2:N17">
    <x:cfRule type="cellIs" dxfId="30" priority="5" operator="equal">
      <x:formula>TRUE</x:formula>
    </x:cfRule>
  </x:conditionalFormatting>
  <x:conditionalFormatting sqref="R2:R17">
    <x:cfRule type="cellIs" dxfId="31" priority="6" operator="equal">
      <x:formula>TRUE</x:formula>
    </x:cfRule>
  </x:conditionalFormatting>
  <x:conditionalFormatting sqref="S2:S17">
    <x:cfRule type="cellIs" dxfId="32" priority="7" operator="equal">
      <x:formula>TRUE</x:formula>
    </x:cfRule>
  </x:conditionalFormatting>
  <x:conditionalFormatting sqref="T2:T17">
    <x:cfRule type="cellIs" dxfId="33" priority="8" operator="equal">
      <x:formula>TRUE</x:formula>
    </x:cfRule>
  </x:conditionalFormatting>
  <x:conditionalFormatting sqref="U2:U17">
    <x:cfRule type="cellIs" dxfId="34" priority="9" operator="equal">
      <x:formula>TRUE</x:formula>
    </x:cfRule>
  </x:conditionalFormatting>
  <x:conditionalFormatting sqref="V2:V17">
    <x:cfRule type="cellIs" dxfId="35" priority="10" operator="equal">
      <x:formula>TRUE</x:formula>
    </x:cfRule>
  </x:conditionalFormatting>
  <x:conditionalFormatting sqref="W2:W17">
    <x:cfRule type="cellIs" dxfId="36" priority="11" operator="equal">
      <x:formula>TRUE</x:formula>
    </x:cfRule>
  </x:conditionalFormatting>
  <x:conditionalFormatting sqref="X2:X17">
    <x:cfRule type="cellIs" dxfId="37" priority="12" operator="equal">
      <x:formula>TRUE</x:formula>
    </x:cfRule>
  </x:conditionalFormatting>
  <x:conditionalFormatting sqref="Y2:Y17">
    <x:cfRule type="cellIs" dxfId="38" priority="13" operator="equal">
      <x:formula>TRUE</x:formula>
    </x:cfRule>
  </x:conditionalFormatting>
  <x:conditionalFormatting sqref="Z2:Z17">
    <x:cfRule type="cellIs" dxfId="39" priority="14" operator="equal">
      <x:formula>TRUE</x:formula>
    </x:cfRule>
  </x:conditionalFormatting>
  <x:conditionalFormatting sqref="AA2:AA17">
    <x:cfRule type="cellIs" dxfId="40" priority="15" operator="equal">
      <x:formula>TRUE</x:formula>
    </x:cfRule>
  </x:conditionalFormatting>
  <x:conditionalFormatting sqref="AB2:AB17">
    <x:cfRule type="cellIs" dxfId="41" priority="16" operator="equal">
      <x:formula>TRUE</x:formula>
    </x:cfRule>
  </x:conditionalFormatting>
  <x:conditionalFormatting sqref="AC2:AC17">
    <x:cfRule type="cellIs" dxfId="42" priority="17" operator="equal">
      <x:formula>TRUE</x:formula>
    </x:cfRule>
  </x:conditionalFormatting>
  <x:conditionalFormatting sqref="AD2:AD17">
    <x:cfRule type="cellIs" dxfId="43" priority="18" operator="equal">
      <x:formula>TRUE</x:formula>
    </x:cfRule>
  </x:conditionalFormatting>
  <x:conditionalFormatting sqref="AE2:AE17">
    <x:cfRule type="cellIs" dxfId="44" priority="19" operator="equal">
      <x:formula>TRUE</x:formula>
    </x:cfRule>
  </x:conditionalFormatting>
  <x:conditionalFormatting sqref="AG2:AG17">
    <x:cfRule type="cellIs" dxfId="45" priority="20" operator="equal">
      <x:formula>TRUE</x:formula>
    </x:cfRule>
  </x:conditionalFormatting>
  <x:conditionalFormatting sqref="AH2:AH17">
    <x:cfRule type="cellIs" dxfId="46" priority="21" operator="equal">
      <x:formula>TRUE</x:formula>
    </x:cfRule>
  </x:conditionalFormatting>
  <x:conditionalFormatting sqref="AI2:AI17">
    <x:cfRule type="cellIs" dxfId="47" priority="22" operator="equal">
      <x:formula>TRUE</x:formula>
    </x:cfRule>
  </x:conditionalFormatting>
  <x:conditionalFormatting sqref="AJ2:AJ17">
    <x:cfRule type="cellIs" dxfId="48" priority="23" operator="equal">
      <x:formula>TRUE</x:formula>
    </x:cfRule>
  </x:conditionalFormatting>
  <x:conditionalFormatting sqref="AK2:AK17">
    <x:cfRule type="cellIs" dxfId="49" priority="24" operator="equal">
      <x:formula>TRUE</x:formula>
    </x:cfRule>
  </x:conditionalFormatting>
  <x:conditionalFormatting sqref="AL2:AL17">
    <x:cfRule type="cellIs" dxfId="50" priority="25" operator="equal">
      <x:formula>TRUE</x:formula>
    </x:cfRule>
  </x:conditionalFormatting>
  <x:conditionalFormatting sqref="AM2:AM17">
    <x:cfRule type="cellIs" dxfId="51" priority="26" operator="equal">
      <x:formula>TRUE</x:formula>
    </x:cfRule>
  </x:conditionalFormatting>
  <x:conditionalFormatting sqref="AN2:AN17">
    <x:cfRule type="cellIs" dxfId="52" priority="27" operator="equal">
      <x:formula>TRUE</x:formula>
    </x:cfRule>
  </x:conditionalFormatting>
  <x:conditionalFormatting sqref="AO2:AO17">
    <x:cfRule type="cellIs" dxfId="53" priority="28" operator="equal">
      <x:formula>TRUE</x:formula>
    </x:cfRule>
  </x:conditionalFormatting>
  <x:conditionalFormatting sqref="AS2:AS17">
    <x:cfRule type="cellIs" dxfId="54" priority="29" operator="equal">
      <x:formula>TRUE</x:formula>
    </x:cfRule>
  </x:conditionalFormatting>
  <x:conditionalFormatting sqref="AT2:AT17">
    <x:cfRule type="cellIs" dxfId="55" priority="30" operator="equal">
      <x:formula>TRUE</x:formula>
    </x:cfRule>
  </x:conditionalFormatting>
  <x:conditionalFormatting sqref="AU2:AU17">
    <x:cfRule type="cellIs" dxfId="56" priority="31" operator="equal">
      <x:formula>TRUE</x:formula>
    </x:cfRule>
  </x:conditionalFormatting>
  <x:conditionalFormatting sqref="AV2:AV17">
    <x:cfRule type="cellIs" dxfId="57" priority="32" operator="equal">
      <x:formula>TRUE</x:formula>
    </x:cfRule>
  </x:conditionalFormatting>
  <x:conditionalFormatting sqref="BC2:BC17">
    <x:cfRule type="cellIs" dxfId="58" priority="33" operator="equal">
      <x:formula>TRUE</x:formula>
    </x:cfRule>
  </x:conditionalFormatting>
  <x:conditionalFormatting sqref="BD2:BD17">
    <x:cfRule type="cellIs" dxfId="59" priority="34" operator="equal">
      <x:formula>TRUE</x:formula>
    </x:cfRule>
  </x:conditionalFormatting>
  <x:conditionalFormatting sqref="BE2:BE17">
    <x:cfRule type="cellIs" dxfId="60" priority="35" operator="equal">
      <x:formula>TRUE</x:formula>
    </x:cfRule>
  </x:conditionalFormatting>
  <x:conditionalFormatting sqref="BF2:BF17">
    <x:cfRule type="cellIs" dxfId="61" priority="36" operator="equal">
      <x:formula>TRUE</x:formula>
    </x:cfRule>
  </x:conditionalFormatting>
  <x:conditionalFormatting sqref="BG2:BG17">
    <x:cfRule type="cellIs" dxfId="62" priority="37" operator="equal">
      <x:formula>TRUE</x:formula>
    </x:cfRule>
  </x:conditionalFormatting>
  <x:conditionalFormatting sqref="BH2:BH17">
    <x:cfRule type="cellIs" dxfId="63" priority="38" operator="equal">
      <x:formula>TRUE</x:formula>
    </x:cfRule>
  </x:conditionalFormatting>
  <x:conditionalFormatting sqref="BI2:BI17">
    <x:cfRule type="cellIs" dxfId="64" priority="39" operator="equal">
      <x:formula>TRUE</x:formula>
    </x:cfRule>
  </x:conditionalFormatting>
  <x:conditionalFormatting sqref="BJ2:BJ17">
    <x:cfRule type="cellIs" dxfId="65" priority="40" operator="equal">
      <x:formula>TRUE</x:formula>
    </x:cfRule>
  </x:conditionalFormatting>
  <x:conditionalFormatting sqref="BK2:BK17">
    <x:cfRule type="cellIs" dxfId="66" priority="41" operator="equal">
      <x:formula>TRUE</x:formula>
    </x:cfRule>
  </x:conditionalFormatting>
  <x:conditionalFormatting sqref="BL2:BL17">
    <x:cfRule type="cellIs" dxfId="67" priority="42" operator="equal">
      <x:formula>TRUE</x:formula>
    </x:cfRule>
  </x:conditionalFormatting>
  <x:conditionalFormatting sqref="BM2:BM17">
    <x:cfRule type="cellIs" dxfId="68" priority="43" operator="equal">
      <x:formula>TRUE</x:formula>
    </x:cfRule>
  </x:conditionalFormatting>
  <x:conditionalFormatting sqref="BN2:BN17">
    <x:cfRule type="cellIs" dxfId="69" priority="44" operator="equal">
      <x:formula>TRUE</x:formula>
    </x:cfRule>
  </x:conditionalFormatting>
  <x:conditionalFormatting sqref="BO2:BO17">
    <x:cfRule type="cellIs" dxfId="70" priority="45" operator="equal">
      <x:formula>TRUE</x:formula>
    </x:cfRule>
  </x:conditionalFormatting>
  <x:conditionalFormatting sqref="BP2:BP17">
    <x:cfRule type="cellIs" dxfId="71" priority="46" operator="equal">
      <x:formula>TRUE</x:formula>
    </x:cfRule>
  </x:conditionalFormatting>
  <x:conditionalFormatting sqref="BQ2:BQ17">
    <x:cfRule type="cellIs" dxfId="72" priority="47" operator="equal">
      <x:formula>TRUE</x:formula>
    </x:cfRule>
  </x:conditionalFormatting>
  <x:conditionalFormatting sqref="BR2:BR17">
    <x:cfRule type="cellIs" dxfId="73" priority="48" operator="equal">
      <x:formula>TRUE</x:formula>
    </x:cfRule>
  </x:conditionalFormatting>
  <x:conditionalFormatting sqref="BS2:BS17">
    <x:cfRule type="cellIs" dxfId="74" priority="49" operator="equal">
      <x:formula>TRUE</x:formula>
    </x:cfRule>
  </x:conditionalFormatting>
  <x:conditionalFormatting sqref="BT2:BT17">
    <x:cfRule type="cellIs" dxfId="75" priority="50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ca41792d534a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1" hidden="0" customWidth="1"/>
    <x:col min="4" max="4" width="38" hidden="0" customWidth="1"/>
    <x:col min="5" max="5" width="66" hidden="0" customWidth="1"/>
    <x:col min="6" max="6" width="50" hidden="0" customWidth="1"/>
    <x:col min="7" max="7" width="15" hidden="0" customWidth="1"/>
    <x:col min="8" max="8" width="15" hidden="0" customWidth="1"/>
    <x:col min="9" max="9" width="31" hidden="0" customWidth="1"/>
    <x:col min="10" max="10" width="31" hidden="0" customWidth="1"/>
    <x:col min="11" max="11" width="16" hidden="0" customWidth="1"/>
    <x:col min="12" max="12" width="16" hidden="0" customWidth="1"/>
    <x:col min="13" max="13" width="58" hidden="0" customWidth="1"/>
  </x:cols>
  <x:sheetData>
    <x:row r="1" ht="34" customHeight="1">
      <x:c r="A1" s="44" t="str">
        <x:v>Input_Key</x:v>
      </x:c>
      <x:c r="B1" s="45" t="str">
        <x:v>Input_Type</x:v>
      </x:c>
      <x:c r="C1" s="45" t="str">
        <x:v>Set_Label</x:v>
      </x:c>
      <x:c r="D1" s="45" t="str">
        <x:v>Role</x:v>
      </x:c>
      <x:c r="E1" s="45" t="str">
        <x:v>Source_Path</x:v>
      </x:c>
      <x:c r="F1" s="45" t="str">
        <x:v>Frozen_File</x:v>
      </x:c>
      <x:c r="G1" s="45" t="str">
        <x:v>Expected_Count</x:v>
      </x:c>
      <x:c r="H1" s="45" t="str">
        <x:v>Observed_Count</x:v>
      </x:c>
      <x:c r="I1" s="45" t="str">
        <x:v>Source_SHA256</x:v>
      </x:c>
      <x:c r="J1" s="45" t="str">
        <x:v>Frozen_SHA256</x:v>
      </x:c>
      <x:c r="K1" s="45" t="str">
        <x:v>Hash_Match</x:v>
      </x:c>
      <x:c r="L1" s="45" t="str">
        <x:v>Processing_Date</x:v>
      </x:c>
      <x:c r="M1" s="46" t="str">
        <x:v>Retrieval_Date_Note</x:v>
      </x:c>
    </x:row>
    <x:row r="2" ht="38" customHeight="1">
      <x:c r="A2" s="106" t="str">
        <x:v>drug_strict</x:v>
      </x:c>
      <x:c r="B2" s="106" t="str">
        <x:v>Gene Symbol list</x:v>
      </x:c>
      <x:c r="C2" s="106" t="str">
        <x:v>Bilobalide Strict_25</x:v>
      </x:c>
      <x:c r="D2" s="121" t="str">
        <x:v>L1 strict intersection input</x:v>
      </x:c>
      <x:c r="E2" s="121" t="str">
        <x:v>/Users/huoxiaoran/潇冉/研0/白果内酯（新）/3_Bilobalide/Bilobalide_targets_strict_25_gene_symbols.txt</x:v>
      </x:c>
      <x:c r="F2" s="121" t="str">
        <x:v>Bilobalide_targets_strict_25_gene_symbols.txt</x:v>
      </x:c>
      <x:c r="G2" s="112" t="n">
        <x:v>25</x:v>
      </x:c>
      <x:c r="H2" s="112" t="n">
        <x:v>25</x:v>
      </x:c>
      <x:c r="I2" s="106" t="str">
        <x:v>04b6c911b7a2c91913c8679d6a290cb32abb491a4ccd25346edba6223531e3c3</x:v>
      </x:c>
      <x:c r="J2" s="106" t="str">
        <x:v>04b6c911b7a2c91913c8679d6a290cb32abb491a4ccd25346edba6223531e3c3</x:v>
      </x:c>
      <x:c r="K2" s="107" t="b">
        <x:v>1</x:v>
      </x:c>
      <x:c r="L2" s="106" t="str">
        <x:v>2026-07-14</x:v>
      </x:c>
      <x:c r="M2" s="121" t="str">
        <x:v>上游项目记录始于2026-07-11，补充数据截至2026-07-14；本步骤未重新检索数据库。</x:v>
      </x:c>
    </x:row>
    <x:row r="3" ht="38" customHeight="1">
      <x:c r="A3" s="108" t="str">
        <x:v>drug_recommended</x:v>
      </x:c>
      <x:c r="B3" s="108" t="str">
        <x:v>Gene Symbol list</x:v>
      </x:c>
      <x:c r="C3" s="108" t="str">
        <x:v>Bilobalide Recommended_42</x:v>
      </x:c>
      <x:c r="D3" s="122" t="str">
        <x:v>L2 primary intersection input</x:v>
      </x:c>
      <x:c r="E3" s="122" t="str">
        <x:v>/Users/huoxiaoran/潇冉/研0/白果内酯（新）/3_Bilobalide/Bilobalide_targets_recommended_42_gene_symbols.txt</x:v>
      </x:c>
      <x:c r="F3" s="122" t="str">
        <x:v>Bilobalide_targets_recommended_42_gene_symbols.txt</x:v>
      </x:c>
      <x:c r="G3" s="113" t="n">
        <x:v>42</x:v>
      </x:c>
      <x:c r="H3" s="113" t="n">
        <x:v>42</x:v>
      </x:c>
      <x:c r="I3" s="108" t="str">
        <x:v>5c7655efeff168a167d3faf57a1f4458d02569bb8560e43f0068315209621efe</x:v>
      </x:c>
      <x:c r="J3" s="108" t="str">
        <x:v>5c7655efeff168a167d3faf57a1f4458d02569bb8560e43f0068315209621efe</x:v>
      </x:c>
      <x:c r="K3" s="109" t="b">
        <x:v>1</x:v>
      </x:c>
      <x:c r="L3" s="108" t="str">
        <x:v>2026-07-14</x:v>
      </x:c>
      <x:c r="M3" s="122" t="str">
        <x:v>上游项目记录始于2026-07-11，补充数据截至2026-07-14；本步骤未重新检索数据库。</x:v>
      </x:c>
    </x:row>
    <x:row r="4" ht="38" customHeight="1">
      <x:c r="A4" s="108" t="str">
        <x:v>drug_extended</x:v>
      </x:c>
      <x:c r="B4" s="108" t="str">
        <x:v>Gene Symbol list</x:v>
      </x:c>
      <x:c r="C4" s="108" t="str">
        <x:v>Bilobalide Extended_171</x:v>
      </x:c>
      <x:c r="D4" s="122" t="str">
        <x:v>L3/L4 sensitivity intersection input</x:v>
      </x:c>
      <x:c r="E4" s="122" t="str">
        <x:v>/Users/huoxiaoran/潇冉/研0/白果内酯（新）/3_Bilobalide/Bilobalide_targets_extended_171_gene_symbols.txt</x:v>
      </x:c>
      <x:c r="F4" s="122" t="str">
        <x:v>Bilobalide_targets_extended_171_gene_symbols.txt</x:v>
      </x:c>
      <x:c r="G4" s="113" t="n">
        <x:v>171</x:v>
      </x:c>
      <x:c r="H4" s="113" t="n">
        <x:v>171</x:v>
      </x:c>
      <x:c r="I4" s="108" t="str">
        <x:v>5cd4331e07f8222526acfae8b6950c949849801e0b3353b5ecbd2ec22ce9bbad</x:v>
      </x:c>
      <x:c r="J4" s="108" t="str">
        <x:v>5cd4331e07f8222526acfae8b6950c949849801e0b3353b5ecbd2ec22ce9bbad</x:v>
      </x:c>
      <x:c r="K4" s="109" t="b">
        <x:v>1</x:v>
      </x:c>
      <x:c r="L4" s="108" t="str">
        <x:v>2026-07-14</x:v>
      </x:c>
      <x:c r="M4" s="122" t="str">
        <x:v>上游项目记录始于2026-07-11，补充数据截至2026-07-14；本步骤未重新检索数据库。</x:v>
      </x:c>
    </x:row>
    <x:row r="5" ht="38" customHeight="1">
      <x:c r="A5" s="108" t="str">
        <x:v>disease_strict</x:v>
      </x:c>
      <x:c r="B5" s="108" t="str">
        <x:v>Gene Symbol list</x:v>
      </x:c>
      <x:c r="C5" s="108" t="str">
        <x:v>AIS Strict_28</x:v>
      </x:c>
      <x:c r="D5" s="122" t="str">
        <x:v>L1 strict intersection input</x:v>
      </x:c>
      <x:c r="E5" s="122" t="str">
        <x:v>/Users/huoxiaoran/潇冉/研0/白果内酯（新）/3_AIS/AIS_targets_strict_28_gene_symbols.txt</x:v>
      </x:c>
      <x:c r="F5" s="122" t="str">
        <x:v>AIS_targets_strict_28_gene_symbols.txt</x:v>
      </x:c>
      <x:c r="G5" s="113" t="n">
        <x:v>28</x:v>
      </x:c>
      <x:c r="H5" s="113" t="n">
        <x:v>28</x:v>
      </x:c>
      <x:c r="I5" s="108" t="str">
        <x:v>5c09428a461068aadd07326638417f34745ec4ad832ea4b19ebe6093fa13b302</x:v>
      </x:c>
      <x:c r="J5" s="108" t="str">
        <x:v>5c09428a461068aadd07326638417f34745ec4ad832ea4b19ebe6093fa13b302</x:v>
      </x:c>
      <x:c r="K5" s="109" t="b">
        <x:v>1</x:v>
      </x:c>
      <x:c r="L5" s="108" t="str">
        <x:v>2026-07-14</x:v>
      </x:c>
      <x:c r="M5" s="122" t="str">
        <x:v>上游项目记录始于2026-07-11，补充数据截至2026-07-14；本步骤未重新检索数据库。</x:v>
      </x:c>
    </x:row>
    <x:row r="6" ht="38" customHeight="1">
      <x:c r="A6" s="108" t="str">
        <x:v>disease_primary</x:v>
      </x:c>
      <x:c r="B6" s="108" t="str">
        <x:v>Gene Symbol list</x:v>
      </x:c>
      <x:c r="C6" s="108" t="str">
        <x:v>AIS Primary_81</x:v>
      </x:c>
      <x:c r="D6" s="122" t="str">
        <x:v>L2 primary intersection input</x:v>
      </x:c>
      <x:c r="E6" s="122" t="str">
        <x:v>/Users/huoxiaoran/潇冉/研0/白果内酯（新）/3_AIS/AIS_targets_primary_81_gene_symbols.txt</x:v>
      </x:c>
      <x:c r="F6" s="122" t="str">
        <x:v>AIS_targets_primary_81_gene_symbols.txt</x:v>
      </x:c>
      <x:c r="G6" s="113" t="n">
        <x:v>81</x:v>
      </x:c>
      <x:c r="H6" s="113" t="n">
        <x:v>81</x:v>
      </x:c>
      <x:c r="I6" s="108" t="str">
        <x:v>352983c1f53a1e009591da1b1de7880fa1c42c387a2ba5999542abc077045c5b</x:v>
      </x:c>
      <x:c r="J6" s="108" t="str">
        <x:v>352983c1f53a1e009591da1b1de7880fa1c42c387a2ba5999542abc077045c5b</x:v>
      </x:c>
      <x:c r="K6" s="109" t="b">
        <x:v>1</x:v>
      </x:c>
      <x:c r="L6" s="108" t="str">
        <x:v>2026-07-14</x:v>
      </x:c>
      <x:c r="M6" s="122" t="str">
        <x:v>上游项目记录始于2026-07-11，补充数据截至2026-07-14；本步骤未重新检索数据库。</x:v>
      </x:c>
    </x:row>
    <x:row r="7" ht="38" customHeight="1">
      <x:c r="A7" s="108" t="str">
        <x:v>disease_medium</x:v>
      </x:c>
      <x:c r="B7" s="108" t="str">
        <x:v>Gene Symbol list</x:v>
      </x:c>
      <x:c r="C7" s="108" t="str">
        <x:v>AIS MediumExtended_176</x:v>
      </x:c>
      <x:c r="D7" s="122" t="str">
        <x:v>L3 medium sensitivity intersection input</x:v>
      </x:c>
      <x:c r="E7" s="122" t="str">
        <x:v>/Users/huoxiaoran/潇冉/研0/白果内酯（新）/3_AIS/AIS_targets_medium_extended_176_gene_symbols.txt</x:v>
      </x:c>
      <x:c r="F7" s="122" t="str">
        <x:v>AIS_targets_medium_extended_176_gene_symbols.txt</x:v>
      </x:c>
      <x:c r="G7" s="113" t="n">
        <x:v>176</x:v>
      </x:c>
      <x:c r="H7" s="113" t="n">
        <x:v>176</x:v>
      </x:c>
      <x:c r="I7" s="108" t="str">
        <x:v>303a2546462a3be6e4a8090b65aeed84ca4dd29fe0cb0d247a8b0737566eaf44</x:v>
      </x:c>
      <x:c r="J7" s="108" t="str">
        <x:v>303a2546462a3be6e4a8090b65aeed84ca4dd29fe0cb0d247a8b0737566eaf44</x:v>
      </x:c>
      <x:c r="K7" s="109" t="b">
        <x:v>1</x:v>
      </x:c>
      <x:c r="L7" s="108" t="str">
        <x:v>2026-07-14</x:v>
      </x:c>
      <x:c r="M7" s="122" t="str">
        <x:v>上游项目记录始于2026-07-11，补充数据截至2026-07-14；本步骤未重新检索数据库。</x:v>
      </x:c>
    </x:row>
    <x:row r="8" ht="38" customHeight="1">
      <x:c r="A8" s="108" t="str">
        <x:v>disease_broad</x:v>
      </x:c>
      <x:c r="B8" s="108" t="str">
        <x:v>Gene Symbol list</x:v>
      </x:c>
      <x:c r="C8" s="108" t="str">
        <x:v>AIS BroadSensitivity_430</x:v>
      </x:c>
      <x:c r="D8" s="122" t="str">
        <x:v>L4 broad exploratory intersection input</x:v>
      </x:c>
      <x:c r="E8" s="122" t="str">
        <x:v>/Users/huoxiaoran/潇冉/研0/白果内酯（新）/3_AIS/AIS_targets_broad_sensitivity_430_gene_symbols.txt</x:v>
      </x:c>
      <x:c r="F8" s="122" t="str">
        <x:v>AIS_targets_broad_sensitivity_430_gene_symbols.txt</x:v>
      </x:c>
      <x:c r="G8" s="113" t="n">
        <x:v>430</x:v>
      </x:c>
      <x:c r="H8" s="113" t="n">
        <x:v>430</x:v>
      </x:c>
      <x:c r="I8" s="108" t="str">
        <x:v>935b9b6da217ccd086a200dfa856073dae3b39a4a457ef020fce86d7de5bdc0b</x:v>
      </x:c>
      <x:c r="J8" s="108" t="str">
        <x:v>935b9b6da217ccd086a200dfa856073dae3b39a4a457ef020fce86d7de5bdc0b</x:v>
      </x:c>
      <x:c r="K8" s="109" t="b">
        <x:v>1</x:v>
      </x:c>
      <x:c r="L8" s="108" t="str">
        <x:v>2026-07-14</x:v>
      </x:c>
      <x:c r="M8" s="122" t="str">
        <x:v>上游项目记录始于2026-07-11，补充数据截至2026-07-14；本步骤未重新检索数据库。</x:v>
      </x:c>
    </x:row>
    <x:row r="9" ht="38" customHeight="1">
      <x:c r="A9" s="108" t="str">
        <x:v>drug_master</x:v>
      </x:c>
      <x:c r="B9" s="108" t="str">
        <x:v>Evidence master CSV</x:v>
      </x:c>
      <x:c r="C9" s="108" t="str">
        <x:v>Bilobalide target master evidence</x:v>
      </x:c>
      <x:c r="D9" s="122" t="str">
        <x:v>Drug evidence join source</x:v>
      </x:c>
      <x:c r="E9" s="122" t="str">
        <x:v>/Users/huoxiaoran/潇冉/研0/白果内酯（新）/3_Bilobalide/Bilobalide_target_master_evidence.csv</x:v>
      </x:c>
      <x:c r="F9" s="122" t="str">
        <x:v>Bilobalide_target_master_evidence.csv</x:v>
      </x:c>
      <x:c r="G9" s="113" t="n">
        <x:v>171</x:v>
      </x:c>
      <x:c r="H9" s="113" t="n">
        <x:v>171</x:v>
      </x:c>
      <x:c r="I9" s="108" t="str">
        <x:v>87474e23d75ff492cce8b766780ad3fed5566726ee294c6930af027d37f616f2</x:v>
      </x:c>
      <x:c r="J9" s="108" t="str">
        <x:v>87474e23d75ff492cce8b766780ad3fed5566726ee294c6930af027d37f616f2</x:v>
      </x:c>
      <x:c r="K9" s="109" t="b">
        <x:v>1</x:v>
      </x:c>
      <x:c r="L9" s="108" t="str">
        <x:v>2026-07-14</x:v>
      </x:c>
      <x:c r="M9" s="122" t="str">
        <x:v>上游项目记录始于2026-07-11，补充数据截至2026-07-14；本步骤未重新检索数据库。</x:v>
      </x:c>
    </x:row>
    <x:row r="10" ht="38" customHeight="1">
      <x:c r="A10" s="110" t="str">
        <x:v>disease_master</x:v>
      </x:c>
      <x:c r="B10" s="110" t="str">
        <x:v>Evidence master CSV</x:v>
      </x:c>
      <x:c r="C10" s="110" t="str">
        <x:v>AIS target master evidence</x:v>
      </x:c>
      <x:c r="D10" s="123" t="str">
        <x:v>Disease evidence join source</x:v>
      </x:c>
      <x:c r="E10" s="123" t="str">
        <x:v>/Users/huoxiaoran/潇冉/研0/白果内酯（新）/3_AIS/AIS_target_master_evidence.csv</x:v>
      </x:c>
      <x:c r="F10" s="123" t="str">
        <x:v>AIS_target_master_evidence.csv</x:v>
      </x:c>
      <x:c r="G10" s="114" t="n">
        <x:v>430</x:v>
      </x:c>
      <x:c r="H10" s="114" t="n">
        <x:v>430</x:v>
      </x:c>
      <x:c r="I10" s="110" t="str">
        <x:v>85d6379ff15eb53f4c3317641b1564a1e95120e5052c383f569c75bfd790ac26</x:v>
      </x:c>
      <x:c r="J10" s="110" t="str">
        <x:v>85d6379ff15eb53f4c3317641b1564a1e95120e5052c383f569c75bfd790ac26</x:v>
      </x:c>
      <x:c r="K10" s="111" t="b">
        <x:v>1</x:v>
      </x:c>
      <x:c r="L10" s="110" t="str">
        <x:v>2026-07-14</x:v>
      </x:c>
      <x:c r="M10" s="123" t="str">
        <x:v>上游项目记录始于2026-07-11，补充数据截至2026-07-14；本步骤未重新检索数据库。</x:v>
      </x:c>
    </x:row>
  </x:sheetData>
  <x:conditionalFormatting sqref="K2:K10">
    <x:cfRule type="cellIs" dxfId="76" priority="1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8cc1a7278046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2" hidden="0" customWidth="1"/>
    <x:col min="3" max="3" width="42" hidden="0" customWidth="1"/>
    <x:col min="4" max="4" width="42" hidden="0" customWidth="1"/>
    <x:col min="5" max="5" width="14" hidden="0" customWidth="1"/>
    <x:col min="6" max="6" width="72" hidden="0" customWidth="1"/>
  </x:cols>
  <x:sheetData>
    <x:row r="1" ht="34" customHeight="1">
      <x:c r="A1" s="44" t="str">
        <x:v>Check_ID</x:v>
      </x:c>
      <x:c r="B1" s="45" t="str">
        <x:v>Check</x:v>
      </x:c>
      <x:c r="C1" s="45" t="str">
        <x:v>Expected</x:v>
      </x:c>
      <x:c r="D1" s="45" t="str">
        <x:v>Observed</x:v>
      </x:c>
      <x:c r="E1" s="45" t="str">
        <x:v>Status</x:v>
      </x:c>
      <x:c r="F1" s="46" t="str">
        <x:v>Details</x:v>
      </x:c>
    </x:row>
    <x:row r="2" ht="32" customHeight="1">
      <x:c r="A2" s="106" t="str">
        <x:v>INPUT_drug_strict_COUNT</x:v>
      </x:c>
      <x:c r="B2" s="121" t="str">
        <x:v>Bilobalide Strict_25 unique count</x:v>
      </x:c>
      <x:c r="C2" s="121" t="str">
        <x:v>25</x:v>
      </x:c>
      <x:c r="D2" s="121" t="str">
        <x:v>25</x:v>
      </x:c>
      <x:c r="E2" s="106" t="str">
        <x:v>PASS</x:v>
      </x:c>
      <x:c r="F2" s="121" t="str"/>
    </x:row>
    <x:row r="3" ht="32" customHeight="1">
      <x:c r="A3" s="108" t="str">
        <x:v>INPUT_drug_strict_CLEAN</x:v>
      </x:c>
      <x:c r="B3" s="122" t="str">
        <x:v>Bilobalide Strict_25 duplicate/blank/format QC</x:v>
      </x:c>
      <x:c r="C3" s="122" t="str">
        <x:v>0 anomalies</x:v>
      </x:c>
      <x:c r="D3" s="122" t="str">
        <x:v>0</x:v>
      </x:c>
      <x:c r="E3" s="108" t="str">
        <x:v>PASS</x:v>
      </x:c>
      <x:c r="F3" s="122" t="str"/>
    </x:row>
    <x:row r="4" ht="32" customHeight="1">
      <x:c r="A4" s="108" t="str">
        <x:v>INPUT_drug_recommended_COUNT</x:v>
      </x:c>
      <x:c r="B4" s="122" t="str">
        <x:v>Bilobalide Recommended_42 unique count</x:v>
      </x:c>
      <x:c r="C4" s="122" t="str">
        <x:v>42</x:v>
      </x:c>
      <x:c r="D4" s="122" t="str">
        <x:v>42</x:v>
      </x:c>
      <x:c r="E4" s="108" t="str">
        <x:v>PASS</x:v>
      </x:c>
      <x:c r="F4" s="122" t="str"/>
    </x:row>
    <x:row r="5" ht="32" customHeight="1">
      <x:c r="A5" s="108" t="str">
        <x:v>INPUT_drug_recommended_CLEAN</x:v>
      </x:c>
      <x:c r="B5" s="122" t="str">
        <x:v>Bilobalide Recommended_42 duplicate/blank/format QC</x:v>
      </x:c>
      <x:c r="C5" s="122" t="str">
        <x:v>0 anomalies</x:v>
      </x:c>
      <x:c r="D5" s="122" t="str">
        <x:v>0</x:v>
      </x:c>
      <x:c r="E5" s="108" t="str">
        <x:v>PASS</x:v>
      </x:c>
      <x:c r="F5" s="122" t="str"/>
    </x:row>
    <x:row r="6" ht="32" customHeight="1">
      <x:c r="A6" s="108" t="str">
        <x:v>INPUT_drug_extended_COUNT</x:v>
      </x:c>
      <x:c r="B6" s="122" t="str">
        <x:v>Bilobalide Extended_171 unique count</x:v>
      </x:c>
      <x:c r="C6" s="122" t="str">
        <x:v>171</x:v>
      </x:c>
      <x:c r="D6" s="122" t="str">
        <x:v>171</x:v>
      </x:c>
      <x:c r="E6" s="108" t="str">
        <x:v>PASS</x:v>
      </x:c>
      <x:c r="F6" s="122" t="str"/>
    </x:row>
    <x:row r="7" ht="32" customHeight="1">
      <x:c r="A7" s="108" t="str">
        <x:v>INPUT_drug_extended_CLEAN</x:v>
      </x:c>
      <x:c r="B7" s="122" t="str">
        <x:v>Bilobalide Extended_171 duplicate/blank/format QC</x:v>
      </x:c>
      <x:c r="C7" s="122" t="str">
        <x:v>0 anomalies</x:v>
      </x:c>
      <x:c r="D7" s="122" t="str">
        <x:v>0</x:v>
      </x:c>
      <x:c r="E7" s="108" t="str">
        <x:v>PASS</x:v>
      </x:c>
      <x:c r="F7" s="122" t="str"/>
    </x:row>
    <x:row r="8" ht="32" customHeight="1">
      <x:c r="A8" s="108" t="str">
        <x:v>INPUT_disease_strict_COUNT</x:v>
      </x:c>
      <x:c r="B8" s="122" t="str">
        <x:v>AIS Strict_28 unique count</x:v>
      </x:c>
      <x:c r="C8" s="122" t="str">
        <x:v>28</x:v>
      </x:c>
      <x:c r="D8" s="122" t="str">
        <x:v>28</x:v>
      </x:c>
      <x:c r="E8" s="108" t="str">
        <x:v>PASS</x:v>
      </x:c>
      <x:c r="F8" s="122" t="str"/>
    </x:row>
    <x:row r="9" ht="32" customHeight="1">
      <x:c r="A9" s="108" t="str">
        <x:v>INPUT_disease_strict_CLEAN</x:v>
      </x:c>
      <x:c r="B9" s="122" t="str">
        <x:v>AIS Strict_28 duplicate/blank/format QC</x:v>
      </x:c>
      <x:c r="C9" s="122" t="str">
        <x:v>0 anomalies</x:v>
      </x:c>
      <x:c r="D9" s="122" t="str">
        <x:v>0</x:v>
      </x:c>
      <x:c r="E9" s="108" t="str">
        <x:v>PASS</x:v>
      </x:c>
      <x:c r="F9" s="122" t="str"/>
    </x:row>
    <x:row r="10" ht="32" customHeight="1">
      <x:c r="A10" s="108" t="str">
        <x:v>INPUT_disease_primary_COUNT</x:v>
      </x:c>
      <x:c r="B10" s="122" t="str">
        <x:v>AIS Primary_81 unique count</x:v>
      </x:c>
      <x:c r="C10" s="122" t="str">
        <x:v>81</x:v>
      </x:c>
      <x:c r="D10" s="122" t="str">
        <x:v>81</x:v>
      </x:c>
      <x:c r="E10" s="108" t="str">
        <x:v>PASS</x:v>
      </x:c>
      <x:c r="F10" s="122" t="str"/>
    </x:row>
    <x:row r="11" ht="32" customHeight="1">
      <x:c r="A11" s="108" t="str">
        <x:v>INPUT_disease_primary_CLEAN</x:v>
      </x:c>
      <x:c r="B11" s="122" t="str">
        <x:v>AIS Primary_81 duplicate/blank/format QC</x:v>
      </x:c>
      <x:c r="C11" s="122" t="str">
        <x:v>0 anomalies</x:v>
      </x:c>
      <x:c r="D11" s="122" t="str">
        <x:v>0</x:v>
      </x:c>
      <x:c r="E11" s="108" t="str">
        <x:v>PASS</x:v>
      </x:c>
      <x:c r="F11" s="122" t="str"/>
    </x:row>
    <x:row r="12" ht="32" customHeight="1">
      <x:c r="A12" s="108" t="str">
        <x:v>INPUT_disease_medium_COUNT</x:v>
      </x:c>
      <x:c r="B12" s="122" t="str">
        <x:v>AIS MediumExtended_176 unique count</x:v>
      </x:c>
      <x:c r="C12" s="122" t="str">
        <x:v>176</x:v>
      </x:c>
      <x:c r="D12" s="122" t="str">
        <x:v>176</x:v>
      </x:c>
      <x:c r="E12" s="108" t="str">
        <x:v>PASS</x:v>
      </x:c>
      <x:c r="F12" s="122" t="str"/>
    </x:row>
    <x:row r="13" ht="32" customHeight="1">
      <x:c r="A13" s="108" t="str">
        <x:v>INPUT_disease_medium_CLEAN</x:v>
      </x:c>
      <x:c r="B13" s="122" t="str">
        <x:v>AIS MediumExtended_176 duplicate/blank/format QC</x:v>
      </x:c>
      <x:c r="C13" s="122" t="str">
        <x:v>0 anomalies</x:v>
      </x:c>
      <x:c r="D13" s="122" t="str">
        <x:v>0</x:v>
      </x:c>
      <x:c r="E13" s="108" t="str">
        <x:v>PASS</x:v>
      </x:c>
      <x:c r="F13" s="122" t="str"/>
    </x:row>
    <x:row r="14" ht="32" customHeight="1">
      <x:c r="A14" s="108" t="str">
        <x:v>INPUT_disease_broad_COUNT</x:v>
      </x:c>
      <x:c r="B14" s="122" t="str">
        <x:v>AIS BroadSensitivity_430 unique count</x:v>
      </x:c>
      <x:c r="C14" s="122" t="str">
        <x:v>430</x:v>
      </x:c>
      <x:c r="D14" s="122" t="str">
        <x:v>430</x:v>
      </x:c>
      <x:c r="E14" s="108" t="str">
        <x:v>PASS</x:v>
      </x:c>
      <x:c r="F14" s="122" t="str"/>
    </x:row>
    <x:row r="15" ht="32" customHeight="1">
      <x:c r="A15" s="108" t="str">
        <x:v>INPUT_disease_broad_CLEAN</x:v>
      </x:c>
      <x:c r="B15" s="122" t="str">
        <x:v>AIS BroadSensitivity_430 duplicate/blank/format QC</x:v>
      </x:c>
      <x:c r="C15" s="122" t="str">
        <x:v>0 anomalies</x:v>
      </x:c>
      <x:c r="D15" s="122" t="str">
        <x:v>0</x:v>
      </x:c>
      <x:c r="E15" s="108" t="str">
        <x:v>PASS</x:v>
      </x:c>
      <x:c r="F15" s="122" t="str"/>
    </x:row>
    <x:row r="16" ht="32" customHeight="1">
      <x:c r="A16" s="108" t="str">
        <x:v>NEST_DRUG_1</x:v>
      </x:c>
      <x:c r="B16" s="122" t="str">
        <x:v>Drug Strict_25 subset of Recommended_42</x:v>
      </x:c>
      <x:c r="C16" s="124" t="b">
        <x:v>1</x:v>
      </x:c>
      <x:c r="D16" s="124" t="b">
        <x:v>1</x:v>
      </x:c>
      <x:c r="E16" s="108" t="str">
        <x:v>PASS</x:v>
      </x:c>
      <x:c r="F16" s="122" t="str"/>
    </x:row>
    <x:row r="17" ht="32" customHeight="1">
      <x:c r="A17" s="108" t="str">
        <x:v>NEST_DRUG_2</x:v>
      </x:c>
      <x:c r="B17" s="122" t="str">
        <x:v>Drug Recommended_42 subset of Extended_171</x:v>
      </x:c>
      <x:c r="C17" s="124" t="b">
        <x:v>1</x:v>
      </x:c>
      <x:c r="D17" s="124" t="b">
        <x:v>1</x:v>
      </x:c>
      <x:c r="E17" s="108" t="str">
        <x:v>PASS</x:v>
      </x:c>
      <x:c r="F17" s="122" t="str"/>
    </x:row>
    <x:row r="18" ht="32" customHeight="1">
      <x:c r="A18" s="108" t="str">
        <x:v>NEST_AIS_1</x:v>
      </x:c>
      <x:c r="B18" s="122" t="str">
        <x:v>AIS Strict_28 subset of Primary_81</x:v>
      </x:c>
      <x:c r="C18" s="124" t="b">
        <x:v>1</x:v>
      </x:c>
      <x:c r="D18" s="124" t="b">
        <x:v>1</x:v>
      </x:c>
      <x:c r="E18" s="108" t="str">
        <x:v>PASS</x:v>
      </x:c>
      <x:c r="F18" s="122" t="str"/>
    </x:row>
    <x:row r="19" ht="32" customHeight="1">
      <x:c r="A19" s="108" t="str">
        <x:v>NEST_AIS_2</x:v>
      </x:c>
      <x:c r="B19" s="122" t="str">
        <x:v>AIS Primary_81 subset of MediumExtended_176</x:v>
      </x:c>
      <x:c r="C19" s="124" t="b">
        <x:v>1</x:v>
      </x:c>
      <x:c r="D19" s="124" t="b">
        <x:v>1</x:v>
      </x:c>
      <x:c r="E19" s="108" t="str">
        <x:v>PASS</x:v>
      </x:c>
      <x:c r="F19" s="122" t="str"/>
    </x:row>
    <x:row r="20" ht="32" customHeight="1">
      <x:c r="A20" s="108" t="str">
        <x:v>NEST_AIS_3</x:v>
      </x:c>
      <x:c r="B20" s="122" t="str">
        <x:v>AIS MediumExtended_176 subset of BroadSensitivity_430</x:v>
      </x:c>
      <x:c r="C20" s="124" t="b">
        <x:v>1</x:v>
      </x:c>
      <x:c r="D20" s="124" t="b">
        <x:v>1</x:v>
      </x:c>
      <x:c r="E20" s="108" t="str">
        <x:v>PASS</x:v>
      </x:c>
      <x:c r="F20" s="122" t="str"/>
    </x:row>
    <x:row r="21" ht="32" customHeight="1">
      <x:c r="A21" s="108" t="str">
        <x:v>INTERSECTION_strict_COUNT</x:v>
      </x:c>
      <x:c r="B21" s="122" t="str">
        <x:v>L1_Strict intersection count</x:v>
      </x:c>
      <x:c r="C21" s="122" t="str">
        <x:v>1</x:v>
      </x:c>
      <x:c r="D21" s="122" t="str">
        <x:v>1</x:v>
      </x:c>
      <x:c r="E21" s="108" t="str">
        <x:v>PASS</x:v>
      </x:c>
      <x:c r="F21" s="122" t="str">
        <x:v>NFKB1</x:v>
      </x:c>
    </x:row>
    <x:row r="22" ht="32" customHeight="1">
      <x:c r="A22" s="108" t="str">
        <x:v>INTERSECTION_strict_GENES</x:v>
      </x:c>
      <x:c r="B22" s="122" t="str">
        <x:v>L1_Strict exact gene identity</x:v>
      </x:c>
      <x:c r="C22" s="122" t="str">
        <x:v>NFKB1</x:v>
      </x:c>
      <x:c r="D22" s="122" t="str">
        <x:v>NFKB1</x:v>
      </x:c>
      <x:c r="E22" s="108" t="str">
        <x:v>PASS</x:v>
      </x:c>
      <x:c r="F22" s="122" t="str"/>
    </x:row>
    <x:row r="23" ht="32" customHeight="1">
      <x:c r="A23" s="108" t="str">
        <x:v>INTERSECTION_primary_COUNT</x:v>
      </x:c>
      <x:c r="B23" s="122" t="str">
        <x:v>L2_Primary intersection count</x:v>
      </x:c>
      <x:c r="C23" s="122" t="str">
        <x:v>2</x:v>
      </x:c>
      <x:c r="D23" s="122" t="str">
        <x:v>2</x:v>
      </x:c>
      <x:c r="E23" s="108" t="str">
        <x:v>PASS</x:v>
      </x:c>
      <x:c r="F23" s="122" t="str">
        <x:v>HIF1A;NFKB1</x:v>
      </x:c>
    </x:row>
    <x:row r="24" ht="32" customHeight="1">
      <x:c r="A24" s="108" t="str">
        <x:v>INTERSECTION_primary_GENES</x:v>
      </x:c>
      <x:c r="B24" s="122" t="str">
        <x:v>L2_Primary exact gene identity</x:v>
      </x:c>
      <x:c r="C24" s="122" t="str">
        <x:v>HIF1A;NFKB1</x:v>
      </x:c>
      <x:c r="D24" s="122" t="str">
        <x:v>HIF1A;NFKB1</x:v>
      </x:c>
      <x:c r="E24" s="108" t="str">
        <x:v>PASS</x:v>
      </x:c>
      <x:c r="F24" s="122" t="str"/>
    </x:row>
    <x:row r="25" ht="32" customHeight="1">
      <x:c r="A25" s="108" t="str">
        <x:v>INTERSECTION_medium_COUNT</x:v>
      </x:c>
      <x:c r="B25" s="122" t="str">
        <x:v>L3_MediumExtended intersection count</x:v>
      </x:c>
      <x:c r="C25" s="122" t="str">
        <x:v>6</x:v>
      </x:c>
      <x:c r="D25" s="122" t="str">
        <x:v>6</x:v>
      </x:c>
      <x:c r="E25" s="108" t="str">
        <x:v>PASS</x:v>
      </x:c>
      <x:c r="F25" s="122" t="str">
        <x:v>F2;HIF1A;NFE2L2;NFKB1;SIRT1;TNF</x:v>
      </x:c>
    </x:row>
    <x:row r="26" ht="32" customHeight="1">
      <x:c r="A26" s="108" t="str">
        <x:v>INTERSECTION_medium_GENES</x:v>
      </x:c>
      <x:c r="B26" s="122" t="str">
        <x:v>L3_MediumExtended exact gene identity</x:v>
      </x:c>
      <x:c r="C26" s="122" t="str">
        <x:v>F2;HIF1A;NFE2L2;NFKB1;SIRT1;TNF</x:v>
      </x:c>
      <x:c r="D26" s="122" t="str">
        <x:v>F2;HIF1A;NFE2L2;NFKB1;SIRT1;TNF</x:v>
      </x:c>
      <x:c r="E26" s="108" t="str">
        <x:v>PASS</x:v>
      </x:c>
      <x:c r="F26" s="122" t="str"/>
    </x:row>
    <x:row r="27" ht="32" customHeight="1">
      <x:c r="A27" s="108" t="str">
        <x:v>INTERSECTION_exploratory_COUNT</x:v>
      </x:c>
      <x:c r="B27" s="122" t="str">
        <x:v>L4_BroadExploratory intersection count</x:v>
      </x:c>
      <x:c r="C27" s="122" t="str">
        <x:v>16</x:v>
      </x:c>
      <x:c r="D27" s="122" t="str">
        <x:v>16</x:v>
      </x:c>
      <x:c r="E27" s="108" t="str">
        <x:v>PASS</x:v>
      </x:c>
      <x:c r="F27" s="122" t="str">
        <x:v>CTNNB1;F2;F2R;HIF1A;IL2;MIF;MYLK;NFE2L2;NFKB1;RELA;SIRT1;SIRT6;SLC5A2;SLCO1B1;SRC;TNF</x:v>
      </x:c>
    </x:row>
    <x:row r="28" ht="32" customHeight="1">
      <x:c r="A28" s="108" t="str">
        <x:v>INTERSECTION_exploratory_GENES</x:v>
      </x:c>
      <x:c r="B28" s="122" t="str">
        <x:v>L4_BroadExploratory exact gene identity</x:v>
      </x:c>
      <x:c r="C28" s="122" t="str">
        <x:v>CTNNB1;F2;F2R;HIF1A;IL2;MIF;MYLK;NFE2L2;NFKB1;RELA;SIRT1;SIRT6;SLC5A2;SLCO1B1;SRC;TNF</x:v>
      </x:c>
      <x:c r="D28" s="122" t="str">
        <x:v>CTNNB1;F2;F2R;HIF1A;IL2;MIF;MYLK;NFE2L2;NFKB1;RELA;SIRT1;SIRT6;SLC5A2;SLCO1B1;SRC;TNF</x:v>
      </x:c>
      <x:c r="E28" s="108" t="str">
        <x:v>PASS</x:v>
      </x:c>
      <x:c r="F28" s="122" t="str"/>
    </x:row>
    <x:row r="29" ht="32" customHeight="1">
      <x:c r="A29" s="108" t="str">
        <x:v>NEST_INTERSECTION_1</x:v>
      </x:c>
      <x:c r="B29" s="122" t="str">
        <x:v>L1 subset of L2</x:v>
      </x:c>
      <x:c r="C29" s="124" t="b">
        <x:v>1</x:v>
      </x:c>
      <x:c r="D29" s="124" t="b">
        <x:v>1</x:v>
      </x:c>
      <x:c r="E29" s="108" t="str">
        <x:v>PASS</x:v>
      </x:c>
      <x:c r="F29" s="122" t="str"/>
    </x:row>
    <x:row r="30" ht="32" customHeight="1">
      <x:c r="A30" s="108" t="str">
        <x:v>NEST_INTERSECTION_2</x:v>
      </x:c>
      <x:c r="B30" s="122" t="str">
        <x:v>L2 subset of L3</x:v>
      </x:c>
      <x:c r="C30" s="124" t="b">
        <x:v>1</x:v>
      </x:c>
      <x:c r="D30" s="124" t="b">
        <x:v>1</x:v>
      </x:c>
      <x:c r="E30" s="108" t="str">
        <x:v>PASS</x:v>
      </x:c>
      <x:c r="F30" s="122" t="str"/>
    </x:row>
    <x:row r="31" ht="32" customHeight="1">
      <x:c r="A31" s="108" t="str">
        <x:v>NEST_INTERSECTION_3</x:v>
      </x:c>
      <x:c r="B31" s="122" t="str">
        <x:v>L3 subset of L4</x:v>
      </x:c>
      <x:c r="C31" s="124" t="b">
        <x:v>1</x:v>
      </x:c>
      <x:c r="D31" s="124" t="b">
        <x:v>1</x:v>
      </x:c>
      <x:c r="E31" s="108" t="str">
        <x:v>PASS</x:v>
      </x:c>
      <x:c r="F31" s="122" t="str"/>
    </x:row>
    <x:row r="32" ht="32" customHeight="1">
      <x:c r="A32" s="108" t="str">
        <x:v>EVIDENCE_ROWS</x:v>
      </x:c>
      <x:c r="B32" s="122" t="str">
        <x:v>Evidence master row and unique-symbol count</x:v>
      </x:c>
      <x:c r="C32" s="122" t="str">
        <x:v>16 rows / 16 unique</x:v>
      </x:c>
      <x:c r="D32" s="122" t="str">
        <x:v>16 rows / 16 unique</x:v>
      </x:c>
      <x:c r="E32" s="108" t="str">
        <x:v>PASS</x:v>
      </x:c>
      <x:c r="F32" s="122" t="str"/>
    </x:row>
    <x:row r="33" ht="32" customHeight="1">
      <x:c r="A33" s="108" t="str">
        <x:v>EVIDENCE_JOIN</x:v>
      </x:c>
      <x:c r="B33" s="122" t="str">
        <x:v>Every L4 gene has one drug and one disease master record</x:v>
      </x:c>
      <x:c r="C33" s="122" t="str">
        <x:v>16</x:v>
      </x:c>
      <x:c r="D33" s="122" t="str">
        <x:v>16</x:v>
      </x:c>
      <x:c r="E33" s="108" t="str">
        <x:v>PASS</x:v>
      </x:c>
      <x:c r="F33" s="122" t="str"/>
    </x:row>
    <x:row r="34" ht="32" customHeight="1">
      <x:c r="A34" s="108" t="str">
        <x:v>CORE_ANCHOR</x:v>
      </x:c>
      <x:c r="B34" s="122" t="str">
        <x:v>Core_Anchor equals prespecified L2 primary overlap</x:v>
      </x:c>
      <x:c r="C34" s="122" t="str">
        <x:v>HIF1A;NFKB1</x:v>
      </x:c>
      <x:c r="D34" s="122" t="str">
        <x:v>HIF1A;NFKB1</x:v>
      </x:c>
      <x:c r="E34" s="108" t="str">
        <x:v>PASS</x:v>
      </x:c>
      <x:c r="F34" s="122" t="str"/>
    </x:row>
    <x:row r="35" ht="32" customHeight="1">
      <x:c r="A35" s="108" t="str">
        <x:v>FROZEN_HASHES</x:v>
      </x:c>
      <x:c r="B35" s="122" t="str">
        <x:v>All frozen copies match source SHA256</x:v>
      </x:c>
      <x:c r="C35" s="122" t="str">
        <x:v>9</x:v>
      </x:c>
      <x:c r="D35" s="122" t="str">
        <x:v>9</x:v>
      </x:c>
      <x:c r="E35" s="108" t="str">
        <x:v>PASS</x:v>
      </x:c>
      <x:c r="F35" s="122" t="str"/>
    </x:row>
    <x:row r="36" ht="32" customHeight="1">
      <x:c r="A36" s="108" t="str">
        <x:v>WB_FORMULA_L1_Strict</x:v>
      </x:c>
      <x:c r="B36" s="122" t="str">
        <x:v>L1_Strict workbook formula count vs expected</x:v>
      </x:c>
      <x:c r="C36" s="122" t="n">
        <x:v>1</x:v>
      </x:c>
      <x:c r="D36" s="122" t="n">
        <x:v>1</x:v>
      </x:c>
      <x:c r="E36" s="108" t="str">
        <x:v>PASS</x:v>
      </x:c>
      <x:c r="F36" s="122" t="str">
        <x:v>Live row formulas are retained in Strict_1 columns B/C/F/G; I3:I5 and this row store verified snapshots.</x:v>
      </x:c>
    </x:row>
    <x:row r="37" ht="32" customHeight="1">
      <x:c r="A37" s="108" t="str">
        <x:v>WB_FORMULA_L2_Primary</x:v>
      </x:c>
      <x:c r="B37" s="122" t="str">
        <x:v>L2_Primary workbook formula count vs expected</x:v>
      </x:c>
      <x:c r="C37" s="122" t="n">
        <x:v>2</x:v>
      </x:c>
      <x:c r="D37" s="122" t="n">
        <x:v>2</x:v>
      </x:c>
      <x:c r="E37" s="108" t="str">
        <x:v>PASS</x:v>
      </x:c>
      <x:c r="F37" s="122" t="str">
        <x:v>Live row formulas are retained in Primary_2 columns B/C/F/G; I3:I5 and this row store verified snapshots.</x:v>
      </x:c>
    </x:row>
    <x:row r="38" ht="32" customHeight="1">
      <x:c r="A38" s="108" t="str">
        <x:v>WB_FORMULA_L3_MediumExtended</x:v>
      </x:c>
      <x:c r="B38" s="122" t="str">
        <x:v>L3_MediumExtended workbook formula count vs expected</x:v>
      </x:c>
      <x:c r="C38" s="122" t="n">
        <x:v>6</x:v>
      </x:c>
      <x:c r="D38" s="122" t="n">
        <x:v>6</x:v>
      </x:c>
      <x:c r="E38" s="108" t="str">
        <x:v>PASS</x:v>
      </x:c>
      <x:c r="F38" s="122" t="str">
        <x:v>Live row formulas are retained in Medium_6 columns B/C/F/G; I3:I5 and this row store verified snapshots.</x:v>
      </x:c>
    </x:row>
    <x:row r="39" ht="32" customHeight="1">
      <x:c r="A39" s="108" t="str">
        <x:v>WB_FORMULA_L4_BroadExploratory</x:v>
      </x:c>
      <x:c r="B39" s="122" t="str">
        <x:v>L4_BroadExploratory workbook formula count vs expected</x:v>
      </x:c>
      <x:c r="C39" s="122" t="n">
        <x:v>16</x:v>
      </x:c>
      <x:c r="D39" s="122" t="n">
        <x:v>16</x:v>
      </x:c>
      <x:c r="E39" s="108" t="str">
        <x:v>PASS</x:v>
      </x:c>
      <x:c r="F39" s="122" t="str">
        <x:v>Live row formulas are retained in Exploratory_16 columns B/C/F/G; I3:I5 and this row store verified snapshots.</x:v>
      </x:c>
    </x:row>
    <x:row r="40" ht="32" customHeight="1">
      <x:c r="A40" s="110" t="str">
        <x:v>WB_FORMULA_ALL</x:v>
      </x:c>
      <x:c r="B40" s="123" t="str">
        <x:v>All four workbook formula audits pass</x:v>
      </x:c>
      <x:c r="C40" s="123" t="n">
        <x:v>4</x:v>
      </x:c>
      <x:c r="D40" s="123" t="n">
        <x:v>4</x:v>
      </x:c>
      <x:c r="E40" s="110" t="str">
        <x:v>PASS</x:v>
      </x:c>
      <x:c r="F40" s="123" t="str">
        <x:v>All four row-formula audits were verified against independently computed static intersections.</x:v>
      </x:c>
    </x:row>
  </x:sheetData>
  <x:conditionalFormatting sqref="E2:E40">
    <x:cfRule type="containsText" dxfId="77" priority="1" operator="containsText" text="PASS"/>
    <x:cfRule type="containsText" dxfId="78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864c710d3b734d89"/>
  </x:tableParts>
</x:worksheet>
</file>