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1c5a97fb9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766a05e27d41a3"/>
    <x:sheet xmlns:r="http://schemas.openxmlformats.org/officeDocument/2006/relationships" name="Raw_Annotated" sheetId="2" r:id="Ra84512ee9a01477f"/>
    <x:sheet xmlns:r="http://schemas.openxmlformats.org/officeDocument/2006/relationships" name="Predicted_Top50" sheetId="3" r:id="R4d0b355ef0b24432"/>
    <x:sheet xmlns:r="http://schemas.openxmlformats.org/officeDocument/2006/relationships" name="Priority_Top20" sheetId="4" r:id="R4887eb8a22384bbe"/>
    <x:sheet xmlns:r="http://schemas.openxmlformats.org/officeDocument/2006/relationships" name="Known_Reference" sheetId="5" r:id="Rd10acbb2712d4164"/>
    <x:sheet xmlns:r="http://schemas.openxmlformats.org/officeDocument/2006/relationships" name="Gene_Level" sheetId="6" r:id="Rac1df26409214b63"/>
    <x:sheet xmlns:r="http://schemas.openxmlformats.org/officeDocument/2006/relationships" name="Rank_Summary" sheetId="7" r:id="Rf4955e54a20a4271"/>
    <x:sheet xmlns:r="http://schemas.openxmlformats.org/officeDocument/2006/relationships" name="QC" sheetId="8" r:id="R10c2d19cedab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#####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5" borderId="5" xfId="0" applyNumberFormat="1" applyFont="1" applyFill="1" applyBorder="1"/>
    <x:xf numFmtId="200" fontId="4" fillId="6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7" xfId="0" applyNumberFormat="1" applyFont="1" applyFill="1" applyBorder="1"/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/>
    <x:xf numFmtId="0" fontId="2" fillId="0" borderId="3" xfId="0" applyNumberFormat="1" applyFont="1" applyFill="1" applyBorder="1"/>
    <x:xf numFmtId="0" fontId="6" fillId="0" borderId="13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3" borderId="1" xfId="0" applyNumberFormat="1" applyFont="1" applyFill="1" applyBorder="1"/>
    <x:xf numFmtId="0" fontId="8" fillId="0" borderId="2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3" borderId="4" xfId="0" applyNumberFormat="1" applyFont="1" applyFill="1" applyBorder="1"/>
    <x:xf numFmtId="0" fontId="8" fillId="0" borderId="5" xfId="0" applyNumberFormat="1" applyFont="1" applyFill="1" applyBorder="1"/>
    <x:xf numFmtId="0" fontId="7" fillId="5" borderId="5" xfId="0" applyNumberFormat="1" applyFont="1" applyFill="1" applyBorder="1"/>
    <x:xf numFmtId="200" fontId="7" fillId="6" borderId="6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/>
    <x:xf numFmtId="0" fontId="7" fillId="3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8" fillId="0" borderId="1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7" fillId="3" borderId="11" xfId="0" applyNumberFormat="1" applyFont="1" applyFill="1" applyBorder="1"/>
    <x:xf numFmtId="0" fontId="7" fillId="3" borderId="0" xfId="0" applyNumberFormat="1" applyFont="1" applyFill="1" applyBorder="1"/>
    <x:xf numFmtId="0" fontId="7" fillId="3" borderId="12" xfId="0" applyNumberFormat="1" applyFont="1" applyFill="1" applyBorder="1"/>
    <x:xf numFmtId="0" fontId="8" fillId="7" borderId="1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/>
    <x:xf numFmtId="0" fontId="7" fillId="0" borderId="3" xfId="0" applyNumberFormat="1" applyFont="1" applyFill="1" applyBorder="1"/>
    <x:xf numFmtId="0" fontId="8" fillId="0" borderId="13" xfId="0" applyNumberFormat="1" applyFont="1" applyFill="1" applyBorder="1"/>
    <x:xf numFmtId="0" fontId="8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 applyAlignment="1">
      <x:alignment vertical="top"/>
    </x:xf>
    <x:xf numFmtId="202" fontId="10" fillId="0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vertical="top" wrapText="1"/>
    </x:xf>
    <x:xf numFmtId="201" fontId="10" fillId="7" borderId="0" xfId="0" applyNumberFormat="1" applyFont="1" applyFill="1" applyBorder="1" applyAlignment="1">
      <x:alignment vertical="top"/>
    </x:xf>
    <x:xf numFmtId="201" fontId="10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5c7b84db44e34" /><Relationship Type="http://schemas.openxmlformats.org/officeDocument/2006/relationships/theme" Target="/xl/theme/theme1.xml" Id="R1eca6a6f8be14676" /><Relationship Type="http://schemas.microsoft.com/office/2022/11/relationships/FeaturePropertyBag" Target="/xl/featurePropertyBag/featurePropertyBag.xml" Id="Rfac706c41a6b4f87" /><Relationship Type="http://schemas.openxmlformats.org/officeDocument/2006/relationships/sharedStrings" Target="/xl/sharedStrings.xml" Id="Rce021afc7b5e4842" /><Relationship Type="http://schemas.openxmlformats.org/officeDocument/2006/relationships/worksheet" Target="/xl/worksheets/sheet1.xml" Id="R22766a05e27d41a3" /><Relationship Type="http://schemas.openxmlformats.org/officeDocument/2006/relationships/worksheet" Target="/xl/worksheets/sheet2.xml" Id="Ra84512ee9a01477f" /><Relationship Type="http://schemas.openxmlformats.org/officeDocument/2006/relationships/worksheet" Target="/xl/worksheets/sheet3.xml" Id="R4d0b355ef0b24432" /><Relationship Type="http://schemas.openxmlformats.org/officeDocument/2006/relationships/worksheet" Target="/xl/worksheets/sheet4.xml" Id="R4887eb8a22384bbe" /><Relationship Type="http://schemas.openxmlformats.org/officeDocument/2006/relationships/worksheet" Target="/xl/worksheets/sheet5.xml" Id="Rd10acbb2712d4164" /><Relationship Type="http://schemas.openxmlformats.org/officeDocument/2006/relationships/worksheet" Target="/xl/worksheets/sheet6.xml" Id="Rac1df26409214b63" /><Relationship Type="http://schemas.openxmlformats.org/officeDocument/2006/relationships/worksheet" Target="/xl/worksheets/sheet7.xml" Id="Rf4955e54a20a4271" /><Relationship Type="http://schemas.openxmlformats.org/officeDocument/2006/relationships/worksheet" Target="/xl/worksheets/sheet8.xml" Id="R10c2d19cedab42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etInferRawAuditTable" displayName="NetInferRawAuditTable" ref="A1:AI52" headerRowCount="1" totalsRowCount="0" totalsRowShown="0">
  <x:autoFilter ref="A1:AI52"/>
  <x:tableColumns count="35">
    <x:tableColumn id="1" name="Source_Record_No"/>
    <x:tableColumn id="2" name="Compound_ID_Raw"/>
    <x:tableColumn id="3" name="Compound_Name"/>
    <x:tableColumn id="4" name="PubChem_CID"/>
    <x:tableColumn id="5" name="Original_SMILES"/>
    <x:tableColumn id="6" name="Prepared_SMILES"/>
    <x:tableColumn id="7" name="Structure_Identity_Check"/>
    <x:tableColumn id="8" name="UniProt_Accession"/>
    <x:tableColumn id="9" name="Protein_Name"/>
    <x:tableColumn id="10" name="Protein_Family"/>
    <x:tableColumn id="11" name="Gene_Symbol"/>
    <x:tableColumn id="12" name="Entrez_Gene_ID_Raw"/>
    <x:tableColumn id="13" name="Entrez_Gene_ID"/>
    <x:tableColumn id="14" name="Organism"/>
    <x:tableColumn id="15" name="Tax_ID"/>
    <x:tableColumn id="16" name="NetInfer_Score"/>
    <x:tableColumn id="17" name="Rank_Raw"/>
    <x:tableColumn id="18" name="Prediction_Rank"/>
    <x:tableColumn id="19" name="Record_Class"/>
    <x:tableColumn id="20" name="Prediction_Included"/>
    <x:tableColumn id="21" name="Rank_Layer"/>
    <x:tableColumn id="22" name="Evidence_Status"/>
    <x:tableColumn id="23" name="Recommendation_For_Merge"/>
    <x:tableColumn id="24" name="Score_Interpretation"/>
    <x:tableColumn id="25" name="QC_Note"/>
    <x:tableColumn id="26" name="Method"/>
    <x:tableColumn id="27" name="Network"/>
    <x:tableColumn id="28" name="Fingerprint"/>
    <x:tableColumn id="29" name="Alpha"/>
    <x:tableColumn id="30" name="Beta"/>
    <x:tableColumn id="31" name="Gamma"/>
    <x:tableColumn id="32" name="Delta"/>
    <x:tableColumn id="33" name="Epsilon"/>
    <x:tableColumn id="34" name="Diffusion_k"/>
    <x:tableColumn id="35" name="Requested_Predic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tInferPredictedTop50Table" displayName="NetInferPredictedTop50Table" ref="A1:L51" headerRowCount="1" totalsRowCount="0" totalsRowShown="0">
  <x:autoFilter ref="A1:L51"/>
  <x:tableColumns count="12">
    <x:tableColumn id="1" name="Prediction_Rank"/>
    <x:tableColumn id="2" name="Gene_Symbol"/>
    <x:tableColumn id="3" name="UniProt_Accession"/>
    <x:tableColumn id="4" name="Entrez_Gene_ID"/>
    <x:tableColumn id="5" name="Protein_Name"/>
    <x:tableColumn id="6" name="Protein_Family"/>
    <x:tableColumn id="7" name="NetInfer_Score"/>
    <x:tableColumn id="8" name="Rank_Layer"/>
    <x:tableColumn id="9" name="Organism"/>
    <x:tableColumn id="10" name="Tax_ID"/>
    <x:tableColumn id="11" name="Evidence_Status"/>
    <x:tableColumn id="12" name="Recommendation_For_Mer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tInferPriorityTop20Table" displayName="NetInferPriorityTop20Table" ref="A1:L21" headerRowCount="1" totalsRowCount="0" totalsRowShown="0">
  <x:autoFilter ref="A1:L21"/>
  <x:tableColumns count="12">
    <x:tableColumn id="1" name="Prediction_Rank"/>
    <x:tableColumn id="2" name="Gene_Symbol"/>
    <x:tableColumn id="3" name="UniProt_Accession"/>
    <x:tableColumn id="4" name="Entrez_Gene_ID"/>
    <x:tableColumn id="5" name="Protein_Name"/>
    <x:tableColumn id="6" name="Protein_Family"/>
    <x:tableColumn id="7" name="NetInfer_Score"/>
    <x:tableColumn id="8" name="Rank_Layer"/>
    <x:tableColumn id="9" name="Organism"/>
    <x:tableColumn id="10" name="Tax_ID"/>
    <x:tableColumn id="11" name="Evidence_Status"/>
    <x:tableColumn id="12" name="Recommendation_For_Mer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tInferKnownReferenceTable" displayName="NetInferKnownReferenceTable" ref="A1:L2" headerRowCount="1" totalsRowCount="0" totalsRowShown="0">
  <x:autoFilter ref="A1:L2"/>
  <x:tableColumns count="12">
    <x:tableColumn id="1" name="Rank_Raw"/>
    <x:tableColumn id="2" name="Gene_Symbol"/>
    <x:tableColumn id="3" name="UniProt_Accession"/>
    <x:tableColumn id="4" name="Entrez_Gene_ID"/>
    <x:tableColumn id="5" name="Protein_Name"/>
    <x:tableColumn id="6" name="Protein_Family"/>
    <x:tableColumn id="7" name="NetInfer_Score"/>
    <x:tableColumn id="8" name="Record_Class"/>
    <x:tableColumn id="9" name="Evidence_Status"/>
    <x:tableColumn id="10" name="Recommendation_For_Merge"/>
    <x:tableColumn id="11" name="Organism"/>
    <x:tableColumn id="12" name="Tax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tInferGeneLevelTable" displayName="NetInferGeneLevelTable" ref="A1:L51" headerRowCount="1" totalsRowCount="0" totalsRowShown="0">
  <x:autoFilter ref="A1:L51"/>
  <x:tableColumns count="12">
    <x:tableColumn id="1" name="Gene_Symbol"/>
    <x:tableColumn id="2" name="UniProt_Accession"/>
    <x:tableColumn id="3" name="Entrez_Gene_ID"/>
    <x:tableColumn id="4" name="Protein_Name"/>
    <x:tableColumn id="5" name="Protein_Family"/>
    <x:tableColumn id="6" name="NetInfer_Score"/>
    <x:tableColumn id="7" name="Prediction_Rank"/>
    <x:tableColumn id="8" name="Rank_Layer"/>
    <x:tableColumn id="9" name="Organism"/>
    <x:tableColumn id="10" name="Tax_ID"/>
    <x:tableColumn id="11" name="Evidence_Status"/>
    <x:tableColumn id="12" name="Recommendation_For_Mer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etInferRankSummaryTable" displayName="NetInferRankSummaryTable" ref="A1:H5" headerRowCount="1" totalsRowCount="0" totalsRowShown="0">
  <x:autoFilter ref="A1:H5"/>
  <x:tableColumns count="8">
    <x:tableColumn id="1" name="Rank_Layer"/>
    <x:tableColumn id="2" name="Maximum_Rank"/>
    <x:tableColumn id="3" name="Target_Count"/>
    <x:tableColumn id="4" name="Highest_Score"/>
    <x:tableColumn id="5" name="Lowest_Score"/>
    <x:tableColumn id="6" name="Mean_Score"/>
    <x:tableColumn id="7" name="Median_Score"/>
    <x:tableColumn id="8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etInferQCTable" displayName="NetInferQCTable" ref="A1:F14" headerRowCount="1" totalsRowCount="0" totalsRowShown="0">
  <x:autoFilter ref="A1:F14"/>
  <x:tableColumns count="6">
    <x:tableColumn id="1" name="Check_ID"/>
    <x:tableColumn id="2" name="QC项目"/>
    <x:tableColumn id="3" name="预期"/>
    <x:tableColumn id="4" name="观察值"/>
    <x:tableColumn id="5" name="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f830619f1347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a62e0e620a4b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57100986440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c94f8327b43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4d09e056e84f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dbab2edccb4e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956ab5223e47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4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83" t="str">
        <x:v>NetInfer 白果内酯靶点预测结果｜处理与质量控制</x:v>
      </x:c>
      <x:c r="B1" s="83" t="str">
        <x:v>NetInfer 白果内酯靶点预测结果｜处理与质量控制</x:v>
      </x:c>
      <x:c r="C1" s="83" t="str">
        <x:v>NetInfer 白果内酯靶点预测结果｜处理与质量控制</x:v>
      </x:c>
      <x:c r="D1" s="83" t="str">
        <x:v>NetInfer 白果内酯靶点预测结果｜处理与质量控制</x:v>
      </x:c>
      <x:c r="E1" s="83" t="str">
        <x:v>NetInfer 白果内酯靶点预测结果｜处理与质量控制</x:v>
      </x:c>
      <x:c r="F1" s="83" t="str">
        <x:v>NetInfer 白果内酯靶点预测结果｜处理与质量控制</x:v>
      </x:c>
      <x:c r="G1" s="83" t="str">
        <x:v>NetInfer 白果内酯靶点预测结果｜处理与质量控制</x:v>
      </x:c>
      <x:c r="H1" s="83" t="str">
        <x:v>NetInfer 白果内酯靶点预测结果｜处理与质量控制</x:v>
      </x:c>
    </x:row>
    <x:row r="2">
      <x:c r="A2" s="53"/>
      <x:c r="B2" s="53"/>
      <x:c r="C2" s="53"/>
      <x:c r="D2" s="53"/>
      <x:c r="E2" s="53"/>
      <x:c r="F2" s="53"/>
      <x:c r="G2" s="53"/>
      <x:c r="H2" s="53"/>
    </x:row>
    <x:row r="3">
      <x:c r="A3" s="54" t="str">
        <x:v>项目</x:v>
      </x:c>
      <x:c r="B3" s="55" t="str">
        <x:v>白果内酯（Bilobalide）靶点预测</x:v>
      </x:c>
      <x:c r="C3" s="55"/>
      <x:c r="D3" s="56" t="str">
        <x:v>指标</x:v>
      </x:c>
      <x:c r="E3" s="57" t="str">
        <x:v>数量</x:v>
      </x:c>
      <x:c r="F3" s="53"/>
      <x:c r="G3" s="53"/>
      <x:c r="H3" s="53"/>
    </x:row>
    <x:row r="4">
      <x:c r="A4" s="58" t="str">
        <x:v>PubChem CID</x:v>
      </x:c>
      <x:c r="B4" s="59" t="n">
        <x:v>73581</x:v>
      </x:c>
      <x:c r="C4" s="59"/>
      <x:c r="D4" s="60" t="str">
        <x:v>NetInfer预测靶点</x:v>
      </x:c>
      <x:c r="E4" s="61" t="n">
        <x:f>COUNTA('Predicted_Top50'!$A$2:$A$51)</x:f>
        <x:v>50</x:v>
      </x:c>
      <x:c r="F4" s="53"/>
      <x:c r="G4" s="53"/>
      <x:c r="H4" s="53"/>
    </x:row>
    <x:row r="5">
      <x:c r="A5" s="58" t="str">
        <x:v>方法</x:v>
      </x:c>
      <x:c r="B5" s="59" t="str">
        <x:v>wSDTNBI</x:v>
      </x:c>
      <x:c r="C5" s="59"/>
      <x:c r="D5" s="60" t="str">
        <x:v>Top20优先查看层</x:v>
      </x:c>
      <x:c r="E5" s="61" t="n">
        <x:f>COUNTA('Priority_Top20'!$A$2:$A$21)</x:f>
        <x:v>20</x:v>
      </x:c>
      <x:c r="F5" s="53"/>
      <x:c r="G5" s="53"/>
      <x:c r="H5" s="53"/>
    </x:row>
    <x:row r="6">
      <x:c r="A6" s="58" t="str">
        <x:v>网络</x:v>
      </x:c>
      <x:c r="B6" s="59" t="str">
        <x:v>Global DTI network (version 2020)</x:v>
      </x:c>
      <x:c r="C6" s="59"/>
      <x:c r="D6" s="60" t="str">
        <x:v>Known网络参考</x:v>
      </x:c>
      <x:c r="E6" s="61" t="n">
        <x:f>COUNTA('Known_Reference'!$A$2:$A$2)</x:f>
        <x:v>1</x:v>
      </x:c>
      <x:c r="F6" s="53"/>
      <x:c r="G6" s="53"/>
      <x:c r="H6" s="53"/>
    </x:row>
    <x:row r="7">
      <x:c r="A7" s="58" t="str">
        <x:v>指纹</x:v>
      </x:c>
      <x:c r="B7" s="59" t="str">
        <x:v>Morgan / FCFP_4-like</x:v>
      </x:c>
      <x:c r="C7" s="59"/>
      <x:c r="D7" s="60" t="str">
        <x:v>预测Gene Symbol</x:v>
      </x:c>
      <x:c r="E7" s="61" t="n">
        <x:f>COUNTA('Gene_Level'!$A$2:$A$51)</x:f>
        <x:v>50</x:v>
      </x:c>
      <x:c r="F7" s="53"/>
      <x:c r="G7" s="53"/>
      <x:c r="H7" s="53"/>
    </x:row>
    <x:row r="8">
      <x:c r="A8" s="58" t="str">
        <x:v>参数</x:v>
      </x:c>
      <x:c r="B8" s="59" t="str">
        <x:v>α=0.4; β=0.2; γ=-0.5; δ=20; ε=4; k=2</x:v>
      </x:c>
      <x:c r="C8" s="59"/>
      <x:c r="D8" s="60" t="str">
        <x:v>全部人源记录</x:v>
      </x:c>
      <x:c r="E8" s="61" t="n">
        <x:f>COUNTIF('Raw_Annotated'!$N$2:$N$52,"Homo sapiens (Human)")</x:f>
        <x:v>51</x:v>
      </x:c>
      <x:c r="F8" s="53"/>
      <x:c r="G8" s="53"/>
      <x:c r="H8" s="53"/>
    </x:row>
    <x:row r="9">
      <x:c r="A9" s="58" t="str">
        <x:v>请求数量</x:v>
      </x:c>
      <x:c r="B9" s="59" t="str">
        <x:v>Top 50</x:v>
      </x:c>
      <x:c r="C9" s="59"/>
      <x:c r="D9" s="59"/>
      <x:c r="E9" s="62"/>
      <x:c r="F9" s="53"/>
      <x:c r="G9" s="53"/>
      <x:c r="H9" s="53"/>
    </x:row>
    <x:row r="10">
      <x:c r="A10" s="63" t="str">
        <x:v>处理日期</x:v>
      </x:c>
      <x:c r="B10" s="64" t="str">
        <x:v>2026-07-14</x:v>
      </x:c>
      <x:c r="C10" s="64"/>
      <x:c r="D10" s="64"/>
      <x:c r="E10" s="65"/>
      <x:c r="F10" s="53"/>
      <x:c r="G10" s="53"/>
      <x:c r="H10" s="53"/>
    </x:row>
    <x:row r="11">
      <x:c r="A11" s="53"/>
      <x:c r="B11" s="53"/>
      <x:c r="C11" s="53"/>
      <x:c r="D11" s="53"/>
      <x:c r="E11" s="53"/>
      <x:c r="F11" s="53"/>
      <x:c r="G11" s="53"/>
      <x:c r="H11" s="53"/>
    </x:row>
    <x:row r="12">
      <x:c r="A12" s="66" t="str">
        <x:v>关键处理原则</x:v>
      </x:c>
      <x:c r="B12" s="67" t="str">
        <x:v>关键处理原则</x:v>
      </x:c>
      <x:c r="C12" s="67" t="str">
        <x:v>关键处理原则</x:v>
      </x:c>
      <x:c r="D12" s="67" t="str">
        <x:v>关键处理原则</x:v>
      </x:c>
      <x:c r="E12" s="67" t="str">
        <x:v>关键处理原则</x:v>
      </x:c>
      <x:c r="F12" s="67" t="str">
        <x:v>关键处理原则</x:v>
      </x:c>
      <x:c r="G12" s="67" t="str">
        <x:v>关键处理原则</x:v>
      </x:c>
      <x:c r="H12" s="63" t="str">
        <x:v>关键处理原则</x:v>
      </x:c>
    </x:row>
    <x:row r="13" ht="15" hidden="0" customHeight="1">
      <x:c r="A13" s="68" t="n">
        <x:v>1</x:v>
      </x:c>
      <x:c r="B13" s="69" t="str">
        <x:v>数字Rank 1–50作为NetInfer预测全集；Top20只是描述性优先层，不是官方阈值。</x:v>
      </x:c>
      <x:c r="C13" s="69" t="str">
        <x:v>数字Rank 1–50作为NetInfer预测全集；Top20只是描述性优先层，不是官方阈值。</x:v>
      </x:c>
      <x:c r="D13" s="69" t="str">
        <x:v>数字Rank 1–50作为NetInfer预测全集；Top20只是描述性优先层，不是官方阈值。</x:v>
      </x:c>
      <x:c r="E13" s="69" t="str">
        <x:v>数字Rank 1–50作为NetInfer预测全集；Top20只是描述性优先层，不是官方阈值。</x:v>
      </x:c>
      <x:c r="F13" s="69" t="str">
        <x:v>数字Rank 1–50作为NetInfer预测全集；Top20只是描述性优先层，不是官方阈值。</x:v>
      </x:c>
      <x:c r="G13" s="69" t="str">
        <x:v>数字Rank 1–50作为NetInfer预测全集；Top20只是描述性优先层，不是官方阈值。</x:v>
      </x:c>
      <x:c r="H13" s="70" t="str">
        <x:v>数字Rank 1–50作为NetInfer预测全集；Top20只是描述性优先层，不是官方阈值。</x:v>
      </x:c>
    </x:row>
    <x:row r="14" ht="15" hidden="0" customHeight="1">
      <x:c r="A14" s="68" t="n">
        <x:v>2</x:v>
      </x:c>
      <x:c r="B14" s="69" t="str">
        <x:v>GLRA2的Rank为Known，属于参考网络已知边；不改成第51名，也不计入50条预测。</x:v>
      </x:c>
      <x:c r="C14" s="69" t="str">
        <x:v>GLRA2的Rank为Known，属于参考网络已知边；不改成第51名，也不计入50条预测。</x:v>
      </x:c>
      <x:c r="D14" s="69" t="str">
        <x:v>GLRA2的Rank为Known，属于参考网络已知边；不改成第51名，也不计入50条预测。</x:v>
      </x:c>
      <x:c r="E14" s="69" t="str">
        <x:v>GLRA2的Rank为Known，属于参考网络已知边；不改成第51名，也不计入50条预测。</x:v>
      </x:c>
      <x:c r="F14" s="69" t="str">
        <x:v>GLRA2的Rank为Known，属于参考网络已知边；不改成第51名，也不计入50条预测。</x:v>
      </x:c>
      <x:c r="G14" s="69" t="str">
        <x:v>GLRA2的Rank为Known，属于参考网络已知边；不改成第51名，也不计入50条预测。</x:v>
      </x:c>
      <x:c r="H14" s="70" t="str">
        <x:v>GLRA2的Rank为Known，属于参考网络已知边；不改成第51名，也不计入50条预测。</x:v>
      </x:c>
    </x:row>
    <x:row r="15" ht="15" hidden="0" customHeight="1">
      <x:c r="A15" s="68" t="n">
        <x:v>3</x:v>
      </x:c>
      <x:c r="B15" s="69" t="str">
        <x:v>wSDTNBI Score仅用于本模型内部排序；不是概率、置信率、结合亲和力或IC50。</x:v>
      </x:c>
      <x:c r="C15" s="69" t="str">
        <x:v>wSDTNBI Score仅用于本模型内部排序；不是概率、置信率、结合亲和力或IC50。</x:v>
      </x:c>
      <x:c r="D15" s="69" t="str">
        <x:v>wSDTNBI Score仅用于本模型内部排序；不是概率、置信率、结合亲和力或IC50。</x:v>
      </x:c>
      <x:c r="E15" s="69" t="str">
        <x:v>wSDTNBI Score仅用于本模型内部排序；不是概率、置信率、结合亲和力或IC50。</x:v>
      </x:c>
      <x:c r="F15" s="69" t="str">
        <x:v>wSDTNBI Score仅用于本模型内部排序；不是概率、置信率、结合亲和力或IC50。</x:v>
      </x:c>
      <x:c r="G15" s="69" t="str">
        <x:v>wSDTNBI Score仅用于本模型内部排序；不是概率、置信率、结合亲和力或IC50。</x:v>
      </x:c>
      <x:c r="H15" s="70" t="str">
        <x:v>wSDTNBI Score仅用于本模型内部排序；不是概率、置信率、结合亲和力或IC50。</x:v>
      </x:c>
    </x:row>
    <x:row r="16" ht="15" hidden="0" customHeight="1">
      <x:c r="A16" s="68" t="n">
        <x:v>4</x:v>
      </x:c>
      <x:c r="B16" s="69" t="str">
        <x:v>所有记录均为Homo sapiens；Gene ID尾部分号已在Clean字段中移除，Raw字段仍保留。</x:v>
      </x:c>
      <x:c r="C16" s="69" t="str">
        <x:v>所有记录均为Homo sapiens；Gene ID尾部分号已在Clean字段中移除，Raw字段仍保留。</x:v>
      </x:c>
      <x:c r="D16" s="69" t="str">
        <x:v>所有记录均为Homo sapiens；Gene ID尾部分号已在Clean字段中移除，Raw字段仍保留。</x:v>
      </x:c>
      <x:c r="E16" s="69" t="str">
        <x:v>所有记录均为Homo sapiens；Gene ID尾部分号已在Clean字段中移除，Raw字段仍保留。</x:v>
      </x:c>
      <x:c r="F16" s="69" t="str">
        <x:v>所有记录均为Homo sapiens；Gene ID尾部分号已在Clean字段中移除，Raw字段仍保留。</x:v>
      </x:c>
      <x:c r="G16" s="69" t="str">
        <x:v>所有记录均为Homo sapiens；Gene ID尾部分号已在Clean字段中移除，Raw字段仍保留。</x:v>
      </x:c>
      <x:c r="H16" s="70" t="str">
        <x:v>所有记录均为Homo sapiens；Gene ID尾部分号已在Clean字段中移除，Raw字段仍保留。</x:v>
      </x:c>
    </x:row>
    <x:row r="17" ht="15" hidden="0" customHeight="1">
      <x:c r="A17" s="68" t="n">
        <x:v>5</x:v>
      </x:c>
      <x:c r="B17" s="69" t="str">
        <x:v>本次没有依据急性缺血性卒中相关性、通路解释或外部实验结果删除预测靶点。</x:v>
      </x:c>
      <x:c r="C17" s="69" t="str">
        <x:v>本次没有依据急性缺血性卒中相关性、通路解释或外部实验结果删除预测靶点。</x:v>
      </x:c>
      <x:c r="D17" s="69" t="str">
        <x:v>本次没有依据急性缺血性卒中相关性、通路解释或外部实验结果删除预测靶点。</x:v>
      </x:c>
      <x:c r="E17" s="69" t="str">
        <x:v>本次没有依据急性缺血性卒中相关性、通路解释或外部实验结果删除预测靶点。</x:v>
      </x:c>
      <x:c r="F17" s="69" t="str">
        <x:v>本次没有依据急性缺血性卒中相关性、通路解释或外部实验结果删除预测靶点。</x:v>
      </x:c>
      <x:c r="G17" s="69" t="str">
        <x:v>本次没有依据急性缺血性卒中相关性、通路解释或外部实验结果删除预测靶点。</x:v>
      </x:c>
      <x:c r="H17" s="70" t="str">
        <x:v>本次没有依据急性缺血性卒中相关性、通路解释或外部实验结果删除预测靶点。</x:v>
      </x:c>
    </x:row>
    <x:row r="18" ht="15" hidden="0" customHeight="1">
      <x:c r="A18" s="68" t="n">
        <x:v>6</x:v>
      </x:c>
      <x:c r="B18" s="69" t="str">
        <x:v>Original与Prepared SMILES均经PubChem fastidentity解析为CID 73581。</x:v>
      </x:c>
      <x:c r="C18" s="69" t="str">
        <x:v>Original与Prepared SMILES均经PubChem fastidentity解析为CID 73581。</x:v>
      </x:c>
      <x:c r="D18" s="69" t="str">
        <x:v>Original与Prepared SMILES均经PubChem fastidentity解析为CID 73581。</x:v>
      </x:c>
      <x:c r="E18" s="69" t="str">
        <x:v>Original与Prepared SMILES均经PubChem fastidentity解析为CID 73581。</x:v>
      </x:c>
      <x:c r="F18" s="69" t="str">
        <x:v>Original与Prepared SMILES均经PubChem fastidentity解析为CID 73581。</x:v>
      </x:c>
      <x:c r="G18" s="69" t="str">
        <x:v>Original与Prepared SMILES均经PubChem fastidentity解析为CID 73581。</x:v>
      </x:c>
      <x:c r="H18" s="70" t="str">
        <x:v>Original与Prepared SMILES均经PubChem fastidentity解析为CID 73581。</x:v>
      </x:c>
    </x:row>
    <x:row r="19">
      <x:c r="A19" s="71"/>
      <x:c r="B19" s="53"/>
      <x:c r="C19" s="53"/>
      <x:c r="D19" s="53"/>
      <x:c r="E19" s="53"/>
      <x:c r="F19" s="53"/>
      <x:c r="G19" s="53"/>
      <x:c r="H19" s="72"/>
    </x:row>
    <x:row r="20">
      <x:c r="A20" s="71"/>
      <x:c r="B20" s="53"/>
      <x:c r="C20" s="53"/>
      <x:c r="D20" s="53"/>
      <x:c r="E20" s="53"/>
      <x:c r="F20" s="53"/>
      <x:c r="G20" s="53"/>
      <x:c r="H20" s="72"/>
    </x:row>
    <x:row r="21">
      <x:c r="A21" s="73" t="str">
        <x:v>后续合并建议</x:v>
      </x:c>
      <x:c r="B21" s="74" t="str">
        <x:v>后续合并建议</x:v>
      </x:c>
      <x:c r="C21" s="74" t="str">
        <x:v>后续合并建议</x:v>
      </x:c>
      <x:c r="D21" s="74" t="str">
        <x:v>后续合并建议</x:v>
      </x:c>
      <x:c r="E21" s="74" t="str">
        <x:v>后续合并建议</x:v>
      </x:c>
      <x:c r="F21" s="74" t="str">
        <x:v>后续合并建议</x:v>
      </x:c>
      <x:c r="G21" s="74" t="str">
        <x:v>后续合并建议</x:v>
      </x:c>
      <x:c r="H21" s="75" t="str">
        <x:v>后续合并建议</x:v>
      </x:c>
    </x:row>
    <x:row r="22">
      <x:c r="A22" s="76" t="str">
        <x:v>后续多预测数据库合并时使用Gene_Level或gene_symbols_for_merge中的50个预测基因。GLRA2应在已知/实验靶点证据层单独管理，避免将其误计为NetInfer独立预测支持。</x:v>
      </x:c>
      <x:c r="B22" s="77" t="str">
        <x:v>后续多预测数据库合并时使用Gene_Level或gene_symbols_for_merge中的50个预测基因。GLRA2应在已知/实验靶点证据层单独管理，避免将其误计为NetInfer独立预测支持。</x:v>
      </x:c>
      <x:c r="C22" s="77" t="str">
        <x:v>后续多预测数据库合并时使用Gene_Level或gene_symbols_for_merge中的50个预测基因。GLRA2应在已知/实验靶点证据层单独管理，避免将其误计为NetInfer独立预测支持。</x:v>
      </x:c>
      <x:c r="D22" s="77" t="str">
        <x:v>后续多预测数据库合并时使用Gene_Level或gene_symbols_for_merge中的50个预测基因。GLRA2应在已知/实验靶点证据层单独管理，避免将其误计为NetInfer独立预测支持。</x:v>
      </x:c>
      <x:c r="E22" s="77" t="str">
        <x:v>后续多预测数据库合并时使用Gene_Level或gene_symbols_for_merge中的50个预测基因。GLRA2应在已知/实验靶点证据层单独管理，避免将其误计为NetInfer独立预测支持。</x:v>
      </x:c>
      <x:c r="F22" s="77" t="str">
        <x:v>后续多预测数据库合并时使用Gene_Level或gene_symbols_for_merge中的50个预测基因。GLRA2应在已知/实验靶点证据层单独管理，避免将其误计为NetInfer独立预测支持。</x:v>
      </x:c>
      <x:c r="G22" s="77" t="str">
        <x:v>后续多预测数据库合并时使用Gene_Level或gene_symbols_for_merge中的50个预测基因。GLRA2应在已知/实验靶点证据层单独管理，避免将其误计为NetInfer独立预测支持。</x:v>
      </x:c>
      <x:c r="H22" s="78" t="str">
        <x:v>后续多预测数据库合并时使用Gene_Level或gene_symbols_for_merge中的50个预测基因。GLRA2应在已知/实验靶点证据层单独管理，避免将其误计为NetInfer独立预测支持。</x:v>
      </x:c>
    </x:row>
    <x:row r="23">
      <x:c r="A23" s="76" t="str">
        <x:v>后续多预测数据库合并时使用Gene_Level或gene_symbols_for_merge中的50个预测基因。GLRA2应在已知/实验靶点证据层单独管理，避免将其误计为NetInfer独立预测支持。</x:v>
      </x:c>
      <x:c r="B23" s="77" t="str">
        <x:v>后续多预测数据库合并时使用Gene_Level或gene_symbols_for_merge中的50个预测基因。GLRA2应在已知/实验靶点证据层单独管理，避免将其误计为NetInfer独立预测支持。</x:v>
      </x:c>
      <x:c r="C23" s="77" t="str">
        <x:v>后续多预测数据库合并时使用Gene_Level或gene_symbols_for_merge中的50个预测基因。GLRA2应在已知/实验靶点证据层单独管理，避免将其误计为NetInfer独立预测支持。</x:v>
      </x:c>
      <x:c r="D23" s="77" t="str">
        <x:v>后续多预测数据库合并时使用Gene_Level或gene_symbols_for_merge中的50个预测基因。GLRA2应在已知/实验靶点证据层单独管理，避免将其误计为NetInfer独立预测支持。</x:v>
      </x:c>
      <x:c r="E23" s="77" t="str">
        <x:v>后续多预测数据库合并时使用Gene_Level或gene_symbols_for_merge中的50个预测基因。GLRA2应在已知/实验靶点证据层单独管理，避免将其误计为NetInfer独立预测支持。</x:v>
      </x:c>
      <x:c r="F23" s="77" t="str">
        <x:v>后续多预测数据库合并时使用Gene_Level或gene_symbols_for_merge中的50个预测基因。GLRA2应在已知/实验靶点证据层单独管理，避免将其误计为NetInfer独立预测支持。</x:v>
      </x:c>
      <x:c r="G23" s="77" t="str">
        <x:v>后续多预测数据库合并时使用Gene_Level或gene_symbols_for_merge中的50个预测基因。GLRA2应在已知/实验靶点证据层单独管理，避免将其误计为NetInfer独立预测支持。</x:v>
      </x:c>
      <x:c r="H23" s="78" t="str">
        <x:v>后续多预测数据库合并时使用Gene_Level或gene_symbols_for_merge中的50个预测基因。GLRA2应在已知/实验靶点证据层单独管理，避免将其误计为NetInfer独立预测支持。</x:v>
      </x:c>
    </x:row>
    <x:row r="24">
      <x:c r="A24" s="71"/>
      <x:c r="B24" s="53"/>
      <x:c r="C24" s="53"/>
      <x:c r="D24" s="53"/>
      <x:c r="E24" s="53"/>
      <x:c r="F24" s="53"/>
      <x:c r="G24" s="53"/>
      <x:c r="H24" s="72"/>
    </x:row>
    <x:row r="25">
      <x:c r="A25" s="73" t="str">
        <x:v>来源</x:v>
      </x:c>
      <x:c r="B25" s="74" t="str">
        <x:v>来源</x:v>
      </x:c>
      <x:c r="C25" s="74" t="str">
        <x:v>来源</x:v>
      </x:c>
      <x:c r="D25" s="74" t="str">
        <x:v>来源</x:v>
      </x:c>
      <x:c r="E25" s="74" t="str">
        <x:v>来源</x:v>
      </x:c>
      <x:c r="F25" s="74" t="str">
        <x:v>来源</x:v>
      </x:c>
      <x:c r="G25" s="74" t="str">
        <x:v>来源</x:v>
      </x:c>
      <x:c r="H25" s="75" t="str">
        <x:v>来源</x:v>
      </x:c>
    </x:row>
    <x:row r="26">
      <x:c r="A26" s="79" t="str">
        <x:v>NetInfer论文</x:v>
      </x:c>
      <x:c r="B26" s="53" t="str">
        <x:v>https://doi.org/10.1021/acs.jcim.0c00291</x:v>
      </x:c>
      <x:c r="C26" s="53"/>
      <x:c r="D26" s="53"/>
      <x:c r="E26" s="53"/>
      <x:c r="F26" s="53"/>
      <x:c r="G26" s="53"/>
      <x:c r="H26" s="72"/>
    </x:row>
    <x:row r="27">
      <x:c r="A27" s="79" t="str">
        <x:v>wSDTNBI论文</x:v>
      </x:c>
      <x:c r="B27" s="53" t="str">
        <x:v>https://doi.org/10.1039/D1SC05613A</x:v>
      </x:c>
      <x:c r="C27" s="53"/>
      <x:c r="D27" s="53"/>
      <x:c r="E27" s="53"/>
      <x:c r="F27" s="53"/>
      <x:c r="G27" s="53"/>
      <x:c r="H27" s="72"/>
    </x:row>
    <x:row r="28">
      <x:c r="A28" s="80" t="str">
        <x:v>PubChem Bilobalide</x:v>
      </x:c>
      <x:c r="B28" s="81" t="str">
        <x:v>https://pubchem.ncbi.nlm.nih.gov/compound/73581</x:v>
      </x:c>
      <x:c r="C28" s="81"/>
      <x:c r="D28" s="81"/>
      <x:c r="E28" s="81"/>
      <x:c r="F28" s="81"/>
      <x:c r="G28" s="81"/>
      <x:c r="H28" s="82"/>
    </x:row>
  </x:sheetData>
  <x:mergeCells>
    <x:mergeCell ref="A1:H1"/>
    <x:mergeCell ref="A12:H12"/>
    <x:mergeCell ref="B13:H13"/>
    <x:mergeCell ref="B14:H14"/>
    <x:mergeCell ref="B15:H15"/>
    <x:mergeCell ref="B16:H16"/>
    <x:mergeCell ref="B17:H17"/>
    <x:mergeCell ref="B18:H18"/>
    <x:mergeCell ref="A21:H21"/>
    <x:mergeCell ref="A22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3" hidden="0" customWidth="1"/>
    <x:col min="5" max="5" width="54" hidden="0" customWidth="1"/>
    <x:col min="6" max="6" width="54" hidden="0" customWidth="1"/>
    <x:col min="7" max="7" width="45" hidden="0" customWidth="1"/>
    <x:col min="8" max="8" width="17" hidden="0" customWidth="1"/>
    <x:col min="9" max="9" width="58" hidden="0" customWidth="1"/>
    <x:col min="10" max="10" width="42" hidden="0" customWidth="1"/>
    <x:col min="11" max="11" width="15" hidden="0" customWidth="1"/>
    <x:col min="12" max="12" width="18" hidden="0" customWidth="1"/>
    <x:col min="13" max="13" width="17" hidden="0" customWidth="1"/>
    <x:col min="14" max="14" width="22" hidden="0" customWidth="1"/>
    <x:col min="15" max="15" width="10" hidden="0" customWidth="1"/>
    <x:col min="16" max="16" width="15" hidden="0" customWidth="1"/>
    <x:col min="17" max="17" width="13" hidden="0" customWidth="1"/>
    <x:col min="18" max="18" width="16" hidden="0" customWidth="1"/>
    <x:col min="19" max="19" width="26" hidden="0" customWidth="1"/>
    <x:col min="20" max="20" width="20" hidden="0" customWidth="1"/>
    <x:col min="21" max="21" width="23" hidden="0" customWidth="1"/>
    <x:col min="22" max="22" width="34" hidden="0" customWidth="1"/>
    <x:col min="23" max="23" width="48" hidden="0" customWidth="1"/>
    <x:col min="24" max="24" width="48" hidden="0" customWidth="1"/>
    <x:col min="25" max="25" width="48" hidden="0" customWidth="1"/>
    <x:col min="26" max="26" width="15" hidden="0" customWidth="1"/>
    <x:col min="27" max="27" width="34" hidden="0" customWidth="1"/>
    <x:col min="28" max="28" width="48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3" hidden="0" customWidth="1"/>
    <x:col min="35" max="35" width="20" hidden="0" customWidth="1"/>
  </x:cols>
  <x:sheetData>
    <x:row r="1" ht="34" customHeight="1">
      <x:c r="A1" s="91" t="str">
        <x:v>Source_Record_No</x:v>
      </x:c>
      <x:c r="B1" s="92" t="str">
        <x:v>Compound_ID_Raw</x:v>
      </x:c>
      <x:c r="C1" s="92" t="str">
        <x:v>Compound_Name</x:v>
      </x:c>
      <x:c r="D1" s="92" t="str">
        <x:v>PubChem_CID</x:v>
      </x:c>
      <x:c r="E1" s="92" t="str">
        <x:v>Original_SMILES</x:v>
      </x:c>
      <x:c r="F1" s="92" t="str">
        <x:v>Prepared_SMILES</x:v>
      </x:c>
      <x:c r="G1" s="92" t="str">
        <x:v>Structure_Identity_Check</x:v>
      </x:c>
      <x:c r="H1" s="92" t="str">
        <x:v>UniProt_Accession</x:v>
      </x:c>
      <x:c r="I1" s="92" t="str">
        <x:v>Protein_Name</x:v>
      </x:c>
      <x:c r="J1" s="92" t="str">
        <x:v>Protein_Family</x:v>
      </x:c>
      <x:c r="K1" s="92" t="str">
        <x:v>Gene_Symbol</x:v>
      </x:c>
      <x:c r="L1" s="92" t="str">
        <x:v>Entrez_Gene_ID_Raw</x:v>
      </x:c>
      <x:c r="M1" s="92" t="str">
        <x:v>Entrez_Gene_ID</x:v>
      </x:c>
      <x:c r="N1" s="92" t="str">
        <x:v>Organism</x:v>
      </x:c>
      <x:c r="O1" s="92" t="str">
        <x:v>Tax_ID</x:v>
      </x:c>
      <x:c r="P1" s="92" t="str">
        <x:v>NetInfer_Score</x:v>
      </x:c>
      <x:c r="Q1" s="92" t="str">
        <x:v>Rank_Raw</x:v>
      </x:c>
      <x:c r="R1" s="92" t="str">
        <x:v>Prediction_Rank</x:v>
      </x:c>
      <x:c r="S1" s="92" t="str">
        <x:v>Record_Class</x:v>
      </x:c>
      <x:c r="T1" s="92" t="str">
        <x:v>Prediction_Included</x:v>
      </x:c>
      <x:c r="U1" s="92" t="str">
        <x:v>Rank_Layer</x:v>
      </x:c>
      <x:c r="V1" s="92" t="str">
        <x:v>Evidence_Status</x:v>
      </x:c>
      <x:c r="W1" s="92" t="str">
        <x:v>Recommendation_For_Merge</x:v>
      </x:c>
      <x:c r="X1" s="92" t="str">
        <x:v>Score_Interpretation</x:v>
      </x:c>
      <x:c r="Y1" s="92" t="str">
        <x:v>QC_Note</x:v>
      </x:c>
      <x:c r="Z1" s="92" t="str">
        <x:v>Method</x:v>
      </x:c>
      <x:c r="AA1" s="92" t="str">
        <x:v>Network</x:v>
      </x:c>
      <x:c r="AB1" s="92" t="str">
        <x:v>Fingerprint</x:v>
      </x:c>
      <x:c r="AC1" s="92" t="str">
        <x:v>Alpha</x:v>
      </x:c>
      <x:c r="AD1" s="92" t="str">
        <x:v>Beta</x:v>
      </x:c>
      <x:c r="AE1" s="92" t="str">
        <x:v>Gamma</x:v>
      </x:c>
      <x:c r="AF1" s="92" t="str">
        <x:v>Delta</x:v>
      </x:c>
      <x:c r="AG1" s="92" t="str">
        <x:v>Epsilon</x:v>
      </x:c>
      <x:c r="AH1" s="92" t="str">
        <x:v>Diffusion_k</x:v>
      </x:c>
      <x:c r="AI1" s="93" t="str">
        <x:v>Requested_Predictions</x:v>
      </x:c>
    </x:row>
    <x:row r="2" ht="24" hidden="0" customHeight="1">
      <x:c r="A2" s="96" t="n">
        <x:v>1</x:v>
      </x:c>
      <x:c r="B2" s="96" t="str">
        <x:v>1</x:v>
      </x:c>
      <x:c r="C2" s="96" t="str">
        <x:v>Bilobalide</x:v>
      </x:c>
      <x:c r="D2" s="96" t="n">
        <x:v>73581</x:v>
      </x:c>
      <x:c r="E2" s="98" t="str">
        <x:v>CC(C)(C)[C@@]1(C[C@H]2[C@@]3([C@]14[C@H](C(=O)O[C@H]4OC3=O)O)CC(=O)O2)O</x:v>
      </x:c>
      <x:c r="F2" s="98" t="str">
        <x:v>O=C1O[C@@H]2[C@@]3(C1)C(=O)O[C@H]1[C@]3([C@](C2)(O)C(C)(C)C)[C@@H](O)C(=O)O1</x:v>
      </x:c>
      <x:c r="G2" s="98" t="str">
        <x:v>Both SMILES resolved to PubChem CID 73581 by PUG REST fastidentity (2026-07-14)</x:v>
      </x:c>
      <x:c r="H2" s="96" t="str">
        <x:v>P25105</x:v>
      </x:c>
      <x:c r="I2" s="98" t="str">
        <x:v>Platelet-activating factor receptor (PAF-R) (PAFr)</x:v>
      </x:c>
      <x:c r="J2" s="98" t="str">
        <x:v>G-protein coupled receptor 1 family</x:v>
      </x:c>
      <x:c r="K2" s="96" t="str">
        <x:v>PTAFR</x:v>
      </x:c>
      <x:c r="L2" s="96" t="str">
        <x:v>5724;</x:v>
      </x:c>
      <x:c r="M2" s="96" t="str">
        <x:v>5724</x:v>
      </x:c>
      <x:c r="N2" s="96" t="str">
        <x:v>Homo sapiens (Human)</x:v>
      </x:c>
      <x:c r="O2" s="100" t="n">
        <x:v>9606</x:v>
      </x:c>
      <x:c r="P2" s="99" t="n">
        <x:v>2.67584</x:v>
      </x:c>
      <x:c r="Q2" s="96" t="str">
        <x:v>1</x:v>
      </x:c>
      <x:c r="R2" s="100" t="n">
        <x:v>1</x:v>
      </x:c>
      <x:c r="S2" s="96" t="str">
        <x:v>NetInfer_Prediction</x:v>
      </x:c>
      <x:c r="T2" s="97" t="b">
        <x:v>1</x:v>
      </x:c>
      <x:c r="U2" s="96" t="str">
        <x:v>Top20_priority</x:v>
      </x:c>
      <x:c r="V2" s="96" t="str">
        <x:v>prediction_only</x:v>
      </x:c>
      <x:c r="W2" s="98" t="str">
        <x:v>Include_as_NetInfer_prediction</x:v>
      </x:c>
      <x:c r="X2" s="98" t="str">
        <x:v>wSDTNBI ranking score; not probability, confidence, affinity, or IC50</x:v>
      </x:c>
      <x:c r="Y2" s="98" t="str"/>
      <x:c r="Z2" s="96" t="str">
        <x:v>wSDTNBI</x:v>
      </x:c>
      <x:c r="AA2" s="98" t="str">
        <x:v>Global DTI network (version 2020)</x:v>
      </x:c>
      <x:c r="AB2" s="98" t="str">
        <x:v>Morgan fingerprint, FCFP_4-like (radius=2, useFeatures=True)</x:v>
      </x:c>
      <x:c r="AC2" s="101" t="n">
        <x:v>0.4</x:v>
      </x:c>
      <x:c r="AD2" s="101" t="n">
        <x:v>0.2</x:v>
      </x:c>
      <x:c r="AE2" s="101" t="n">
        <x:v>-0.5</x:v>
      </x:c>
      <x:c r="AF2" s="101" t="n">
        <x:v>20</x:v>
      </x:c>
      <x:c r="AG2" s="101" t="n">
        <x:v>4</x:v>
      </x:c>
      <x:c r="AH2" s="101" t="n">
        <x:v>2</x:v>
      </x:c>
      <x:c r="AI2" s="96" t="n">
        <x:v>50</x:v>
      </x:c>
    </x:row>
    <x:row r="3" ht="24" hidden="0" customHeight="1">
      <x:c r="A3" s="96" t="n">
        <x:v>2</x:v>
      </x:c>
      <x:c r="B3" s="96" t="str">
        <x:v>1</x:v>
      </x:c>
      <x:c r="C3" s="96" t="str">
        <x:v>Bilobalide</x:v>
      </x:c>
      <x:c r="D3" s="96" t="n">
        <x:v>73581</x:v>
      </x:c>
      <x:c r="E3" s="98" t="str">
        <x:v>CC(C)(C)[C@@]1(C[C@H]2[C@@]3([C@]14[C@H](C(=O)O[C@H]4OC3=O)O)CC(=O)O2)O</x:v>
      </x:c>
      <x:c r="F3" s="98" t="str">
        <x:v>O=C1O[C@@H]2[C@@]3(C1)C(=O)O[C@H]1[C@]3([C@](C2)(O)C(C)(C)C)[C@@H](O)C(=O)O1</x:v>
      </x:c>
      <x:c r="G3" s="98" t="str">
        <x:v>Both SMILES resolved to PubChem CID 73581 by PUG REST fastidentity (2026-07-14)</x:v>
      </x:c>
      <x:c r="H3" s="96" t="str">
        <x:v>P35462</x:v>
      </x:c>
      <x:c r="I3" s="98" t="str">
        <x:v>D(3) dopamine receptor (Dopamine D3 receptor)</x:v>
      </x:c>
      <x:c r="J3" s="98" t="str">
        <x:v>G-protein coupled receptor 1 family</x:v>
      </x:c>
      <x:c r="K3" s="96" t="str">
        <x:v>DRD3</x:v>
      </x:c>
      <x:c r="L3" s="96" t="str">
        <x:v>1814;</x:v>
      </x:c>
      <x:c r="M3" s="96" t="str">
        <x:v>1814</x:v>
      </x:c>
      <x:c r="N3" s="96" t="str">
        <x:v>Homo sapiens (Human)</x:v>
      </x:c>
      <x:c r="O3" s="100" t="n">
        <x:v>9606</x:v>
      </x:c>
      <x:c r="P3" s="99" t="n">
        <x:v>2.58939</x:v>
      </x:c>
      <x:c r="Q3" s="96" t="str">
        <x:v>2</x:v>
      </x:c>
      <x:c r="R3" s="100" t="n">
        <x:v>2</x:v>
      </x:c>
      <x:c r="S3" s="96" t="str">
        <x:v>NetInfer_Prediction</x:v>
      </x:c>
      <x:c r="T3" s="97" t="b">
        <x:v>1</x:v>
      </x:c>
      <x:c r="U3" s="96" t="str">
        <x:v>Top20_priority</x:v>
      </x:c>
      <x:c r="V3" s="96" t="str">
        <x:v>prediction_only</x:v>
      </x:c>
      <x:c r="W3" s="98" t="str">
        <x:v>Include_as_NetInfer_prediction</x:v>
      </x:c>
      <x:c r="X3" s="98" t="str">
        <x:v>wSDTNBI ranking score; not probability, confidence, affinity, or IC50</x:v>
      </x:c>
      <x:c r="Y3" s="98" t="str"/>
      <x:c r="Z3" s="96" t="str">
        <x:v>wSDTNBI</x:v>
      </x:c>
      <x:c r="AA3" s="98" t="str">
        <x:v>Global DTI network (version 2020)</x:v>
      </x:c>
      <x:c r="AB3" s="98" t="str">
        <x:v>Morgan fingerprint, FCFP_4-like (radius=2, useFeatures=True)</x:v>
      </x:c>
      <x:c r="AC3" s="101" t="n">
        <x:v>0.4</x:v>
      </x:c>
      <x:c r="AD3" s="101" t="n">
        <x:v>0.2</x:v>
      </x:c>
      <x:c r="AE3" s="101" t="n">
        <x:v>-0.5</x:v>
      </x:c>
      <x:c r="AF3" s="101" t="n">
        <x:v>20</x:v>
      </x:c>
      <x:c r="AG3" s="101" t="n">
        <x:v>4</x:v>
      </x:c>
      <x:c r="AH3" s="101" t="n">
        <x:v>2</x:v>
      </x:c>
      <x:c r="AI3" s="96" t="n">
        <x:v>50</x:v>
      </x:c>
    </x:row>
    <x:row r="4" ht="24" hidden="0" customHeight="1">
      <x:c r="A4" s="96" t="n">
        <x:v>3</x:v>
      </x:c>
      <x:c r="B4" s="96" t="str">
        <x:v>1</x:v>
      </x:c>
      <x:c r="C4" s="96" t="str">
        <x:v>Bilobalide</x:v>
      </x:c>
      <x:c r="D4" s="96" t="n">
        <x:v>73581</x:v>
      </x:c>
      <x:c r="E4" s="98" t="str">
        <x:v>CC(C)(C)[C@@]1(C[C@H]2[C@@]3([C@]14[C@H](C(=O)O[C@H]4OC3=O)O)CC(=O)O2)O</x:v>
      </x:c>
      <x:c r="F4" s="98" t="str">
        <x:v>O=C1O[C@@H]2[C@@]3(C1)C(=O)O[C@H]1[C@]3([C@](C2)(O)C(C)(C)C)[C@@H](O)C(=O)O1</x:v>
      </x:c>
      <x:c r="G4" s="98" t="str">
        <x:v>Both SMILES resolved to PubChem CID 73581 by PUG REST fastidentity (2026-07-14)</x:v>
      </x:c>
      <x:c r="H4" s="96" t="str">
        <x:v>P83916</x:v>
      </x:c>
      <x:c r="I4" s="98" t="str">
        <x:v>Chromobox protein homolog 1 (HP1Hsbeta) (Heterochromatin protein 1 homolog beta) (HP1 beta) (Heterochromatin protein p25) (M31) (Modifier 1 protein) (p25beta)</x:v>
      </x:c>
      <x:c r="J4" s="98" t="str">
        <x:v>NA</x:v>
      </x:c>
      <x:c r="K4" s="96" t="str">
        <x:v>CBX1</x:v>
      </x:c>
      <x:c r="L4" s="96" t="str">
        <x:v>10951;</x:v>
      </x:c>
      <x:c r="M4" s="96" t="str">
        <x:v>10951</x:v>
      </x:c>
      <x:c r="N4" s="96" t="str">
        <x:v>Homo sapiens (Human)</x:v>
      </x:c>
      <x:c r="O4" s="100" t="n">
        <x:v>9606</x:v>
      </x:c>
      <x:c r="P4" s="99" t="n">
        <x:v>2.46787</x:v>
      </x:c>
      <x:c r="Q4" s="96" t="str">
        <x:v>3</x:v>
      </x:c>
      <x:c r="R4" s="100" t="n">
        <x:v>3</x:v>
      </x:c>
      <x:c r="S4" s="96" t="str">
        <x:v>NetInfer_Prediction</x:v>
      </x:c>
      <x:c r="T4" s="97" t="b">
        <x:v>1</x:v>
      </x:c>
      <x:c r="U4" s="96" t="str">
        <x:v>Top20_priority</x:v>
      </x:c>
      <x:c r="V4" s="96" t="str">
        <x:v>prediction_only</x:v>
      </x:c>
      <x:c r="W4" s="98" t="str">
        <x:v>Include_as_NetInfer_prediction</x:v>
      </x:c>
      <x:c r="X4" s="98" t="str">
        <x:v>wSDTNBI ranking score; not probability, confidence, affinity, or IC50</x:v>
      </x:c>
      <x:c r="Y4" s="98" t="str">
        <x:v>Protein family absent in platform export; retained as NA</x:v>
      </x:c>
      <x:c r="Z4" s="96" t="str">
        <x:v>wSDTNBI</x:v>
      </x:c>
      <x:c r="AA4" s="98" t="str">
        <x:v>Global DTI network (version 2020)</x:v>
      </x:c>
      <x:c r="AB4" s="98" t="str">
        <x:v>Morgan fingerprint, FCFP_4-like (radius=2, useFeatures=True)</x:v>
      </x:c>
      <x:c r="AC4" s="101" t="n">
        <x:v>0.4</x:v>
      </x:c>
      <x:c r="AD4" s="101" t="n">
        <x:v>0.2</x:v>
      </x:c>
      <x:c r="AE4" s="101" t="n">
        <x:v>-0.5</x:v>
      </x:c>
      <x:c r="AF4" s="101" t="n">
        <x:v>20</x:v>
      </x:c>
      <x:c r="AG4" s="101" t="n">
        <x:v>4</x:v>
      </x:c>
      <x:c r="AH4" s="101" t="n">
        <x:v>2</x:v>
      </x:c>
      <x:c r="AI4" s="96" t="n">
        <x:v>50</x:v>
      </x:c>
    </x:row>
    <x:row r="5" ht="24" hidden="0" customHeight="1">
      <x:c r="A5" s="96" t="n">
        <x:v>4</x:v>
      </x:c>
      <x:c r="B5" s="96" t="str">
        <x:v>1</x:v>
      </x:c>
      <x:c r="C5" s="96" t="str">
        <x:v>Bilobalide</x:v>
      </x:c>
      <x:c r="D5" s="96" t="n">
        <x:v>73581</x:v>
      </x:c>
      <x:c r="E5" s="98" t="str">
        <x:v>CC(C)(C)[C@@]1(C[C@H]2[C@@]3([C@]14[C@H](C(=O)O[C@H]4OC3=O)O)CC(=O)O2)O</x:v>
      </x:c>
      <x:c r="F5" s="98" t="str">
        <x:v>O=C1O[C@@H]2[C@@]3(C1)C(=O)O[C@H]1[C@]3([C@](C2)(O)C(C)(C)C)[C@@H](O)C(=O)O1</x:v>
      </x:c>
      <x:c r="G5" s="98" t="str">
        <x:v>Both SMILES resolved to PubChem CID 73581 by PUG REST fastidentity (2026-07-14)</x:v>
      </x:c>
      <x:c r="H5" s="96" t="str">
        <x:v>P41146</x:v>
      </x:c>
      <x:c r="I5" s="98" t="str">
        <x:v>Nociceptin receptor (Kappa-type 3 opioid receptor) (KOR-3) (Orphanin FQ receptor)</x:v>
      </x:c>
      <x:c r="J5" s="98" t="str">
        <x:v>G-protein coupled receptor 1 family</x:v>
      </x:c>
      <x:c r="K5" s="96" t="str">
        <x:v>OPRL1</x:v>
      </x:c>
      <x:c r="L5" s="96" t="str">
        <x:v>4987;</x:v>
      </x:c>
      <x:c r="M5" s="96" t="str">
        <x:v>4987</x:v>
      </x:c>
      <x:c r="N5" s="96" t="str">
        <x:v>Homo sapiens (Human)</x:v>
      </x:c>
      <x:c r="O5" s="100" t="n">
        <x:v>9606</x:v>
      </x:c>
      <x:c r="P5" s="99" t="n">
        <x:v>2.20345</x:v>
      </x:c>
      <x:c r="Q5" s="96" t="str">
        <x:v>4</x:v>
      </x:c>
      <x:c r="R5" s="100" t="n">
        <x:v>4</x:v>
      </x:c>
      <x:c r="S5" s="96" t="str">
        <x:v>NetInfer_Prediction</x:v>
      </x:c>
      <x:c r="T5" s="97" t="b">
        <x:v>1</x:v>
      </x:c>
      <x:c r="U5" s="96" t="str">
        <x:v>Top20_priority</x:v>
      </x:c>
      <x:c r="V5" s="96" t="str">
        <x:v>prediction_only</x:v>
      </x:c>
      <x:c r="W5" s="98" t="str">
        <x:v>Include_as_NetInfer_prediction</x:v>
      </x:c>
      <x:c r="X5" s="98" t="str">
        <x:v>wSDTNBI ranking score; not probability, confidence, affinity, or IC50</x:v>
      </x:c>
      <x:c r="Y5" s="98" t="str"/>
      <x:c r="Z5" s="96" t="str">
        <x:v>wSDTNBI</x:v>
      </x:c>
      <x:c r="AA5" s="98" t="str">
        <x:v>Global DTI network (version 2020)</x:v>
      </x:c>
      <x:c r="AB5" s="98" t="str">
        <x:v>Morgan fingerprint, FCFP_4-like (radius=2, useFeatures=True)</x:v>
      </x:c>
      <x:c r="AC5" s="101" t="n">
        <x:v>0.4</x:v>
      </x:c>
      <x:c r="AD5" s="101" t="n">
        <x:v>0.2</x:v>
      </x:c>
      <x:c r="AE5" s="101" t="n">
        <x:v>-0.5</x:v>
      </x:c>
      <x:c r="AF5" s="101" t="n">
        <x:v>20</x:v>
      </x:c>
      <x:c r="AG5" s="101" t="n">
        <x:v>4</x:v>
      </x:c>
      <x:c r="AH5" s="101" t="n">
        <x:v>2</x:v>
      </x:c>
      <x:c r="AI5" s="96" t="n">
        <x:v>50</x:v>
      </x:c>
    </x:row>
    <x:row r="6" ht="24" hidden="0" customHeight="1">
      <x:c r="A6" s="96" t="n">
        <x:v>5</x:v>
      </x:c>
      <x:c r="B6" s="96" t="str">
        <x:v>1</x:v>
      </x:c>
      <x:c r="C6" s="96" t="str">
        <x:v>Bilobalide</x:v>
      </x:c>
      <x:c r="D6" s="96" t="n">
        <x:v>73581</x:v>
      </x:c>
      <x:c r="E6" s="98" t="str">
        <x:v>CC(C)(C)[C@@]1(C[C@H]2[C@@]3([C@]14[C@H](C(=O)O[C@H]4OC3=O)O)CC(=O)O2)O</x:v>
      </x:c>
      <x:c r="F6" s="98" t="str">
        <x:v>O=C1O[C@@H]2[C@@]3(C1)C(=O)O[C@H]1[C@]3([C@](C2)(O)C(C)(C)C)[C@@H](O)C(=O)O1</x:v>
      </x:c>
      <x:c r="G6" s="98" t="str">
        <x:v>Both SMILES resolved to PubChem CID 73581 by PUG REST fastidentity (2026-07-14)</x:v>
      </x:c>
      <x:c r="H6" s="96" t="str">
        <x:v>Q9Y2T6</x:v>
      </x:c>
      <x:c r="I6" s="98" t="str">
        <x:v>G-protein coupled receptor 55</x:v>
      </x:c>
      <x:c r="J6" s="98" t="str">
        <x:v>G-protein coupled receptor 1 family</x:v>
      </x:c>
      <x:c r="K6" s="96" t="str">
        <x:v>GPR55</x:v>
      </x:c>
      <x:c r="L6" s="96" t="str">
        <x:v>9290;</x:v>
      </x:c>
      <x:c r="M6" s="96" t="str">
        <x:v>9290</x:v>
      </x:c>
      <x:c r="N6" s="96" t="str">
        <x:v>Homo sapiens (Human)</x:v>
      </x:c>
      <x:c r="O6" s="100" t="n">
        <x:v>9606</x:v>
      </x:c>
      <x:c r="P6" s="99" t="n">
        <x:v>2.18895</x:v>
      </x:c>
      <x:c r="Q6" s="96" t="str">
        <x:v>5</x:v>
      </x:c>
      <x:c r="R6" s="100" t="n">
        <x:v>5</x:v>
      </x:c>
      <x:c r="S6" s="96" t="str">
        <x:v>NetInfer_Prediction</x:v>
      </x:c>
      <x:c r="T6" s="97" t="b">
        <x:v>1</x:v>
      </x:c>
      <x:c r="U6" s="96" t="str">
        <x:v>Top20_priority</x:v>
      </x:c>
      <x:c r="V6" s="96" t="str">
        <x:v>prediction_only</x:v>
      </x:c>
      <x:c r="W6" s="98" t="str">
        <x:v>Include_as_NetInfer_prediction</x:v>
      </x:c>
      <x:c r="X6" s="98" t="str">
        <x:v>wSDTNBI ranking score; not probability, confidence, affinity, or IC50</x:v>
      </x:c>
      <x:c r="Y6" s="98" t="str"/>
      <x:c r="Z6" s="96" t="str">
        <x:v>wSDTNBI</x:v>
      </x:c>
      <x:c r="AA6" s="98" t="str">
        <x:v>Global DTI network (version 2020)</x:v>
      </x:c>
      <x:c r="AB6" s="98" t="str">
        <x:v>Morgan fingerprint, FCFP_4-like (radius=2, useFeatures=True)</x:v>
      </x:c>
      <x:c r="AC6" s="101" t="n">
        <x:v>0.4</x:v>
      </x:c>
      <x:c r="AD6" s="101" t="n">
        <x:v>0.2</x:v>
      </x:c>
      <x:c r="AE6" s="101" t="n">
        <x:v>-0.5</x:v>
      </x:c>
      <x:c r="AF6" s="101" t="n">
        <x:v>20</x:v>
      </x:c>
      <x:c r="AG6" s="101" t="n">
        <x:v>4</x:v>
      </x:c>
      <x:c r="AH6" s="101" t="n">
        <x:v>2</x:v>
      </x:c>
      <x:c r="AI6" s="96" t="n">
        <x:v>50</x:v>
      </x:c>
    </x:row>
    <x:row r="7" ht="24" hidden="0" customHeight="1">
      <x:c r="A7" s="96" t="n">
        <x:v>6</x:v>
      </x:c>
      <x:c r="B7" s="96" t="str">
        <x:v>1</x:v>
      </x:c>
      <x:c r="C7" s="96" t="str">
        <x:v>Bilobalide</x:v>
      </x:c>
      <x:c r="D7" s="96" t="n">
        <x:v>73581</x:v>
      </x:c>
      <x:c r="E7" s="98" t="str">
        <x:v>CC(C)(C)[C@@]1(C[C@H]2[C@@]3([C@]14[C@H](C(=O)O[C@H]4OC3=O)O)CC(=O)O2)O</x:v>
      </x:c>
      <x:c r="F7" s="98" t="str">
        <x:v>O=C1O[C@@H]2[C@@]3(C1)C(=O)O[C@H]1[C@]3([C@](C2)(O)C(C)(C)C)[C@@H](O)C(=O)O1</x:v>
      </x:c>
      <x:c r="G7" s="98" t="str">
        <x:v>Both SMILES resolved to PubChem CID 73581 by PUG REST fastidentity (2026-07-14)</x:v>
      </x:c>
      <x:c r="H7" s="96" t="str">
        <x:v>P35372</x:v>
      </x:c>
      <x:c r="I7" s="98" t="str">
        <x:v>Mu-type opioid receptor (M-OR-1) (MOR-1) (Mu opiate receptor) (Mu opioid receptor) (MOP) (hMOP)</x:v>
      </x:c>
      <x:c r="J7" s="98" t="str">
        <x:v>G-protein coupled receptor 1 family</x:v>
      </x:c>
      <x:c r="K7" s="96" t="str">
        <x:v>OPRM1</x:v>
      </x:c>
      <x:c r="L7" s="96" t="str">
        <x:v>4988;</x:v>
      </x:c>
      <x:c r="M7" s="96" t="str">
        <x:v>4988</x:v>
      </x:c>
      <x:c r="N7" s="96" t="str">
        <x:v>Homo sapiens (Human)</x:v>
      </x:c>
      <x:c r="O7" s="100" t="n">
        <x:v>9606</x:v>
      </x:c>
      <x:c r="P7" s="99" t="n">
        <x:v>2.06027</x:v>
      </x:c>
      <x:c r="Q7" s="96" t="str">
        <x:v>6</x:v>
      </x:c>
      <x:c r="R7" s="100" t="n">
        <x:v>6</x:v>
      </x:c>
      <x:c r="S7" s="96" t="str">
        <x:v>NetInfer_Prediction</x:v>
      </x:c>
      <x:c r="T7" s="97" t="b">
        <x:v>1</x:v>
      </x:c>
      <x:c r="U7" s="96" t="str">
        <x:v>Top20_priority</x:v>
      </x:c>
      <x:c r="V7" s="96" t="str">
        <x:v>prediction_only</x:v>
      </x:c>
      <x:c r="W7" s="98" t="str">
        <x:v>Include_as_NetInfer_prediction</x:v>
      </x:c>
      <x:c r="X7" s="98" t="str">
        <x:v>wSDTNBI ranking score; not probability, confidence, affinity, or IC50</x:v>
      </x:c>
      <x:c r="Y7" s="98" t="str"/>
      <x:c r="Z7" s="96" t="str">
        <x:v>wSDTNBI</x:v>
      </x:c>
      <x:c r="AA7" s="98" t="str">
        <x:v>Global DTI network (version 2020)</x:v>
      </x:c>
      <x:c r="AB7" s="98" t="str">
        <x:v>Morgan fingerprint, FCFP_4-like (radius=2, useFeatures=True)</x:v>
      </x:c>
      <x:c r="AC7" s="101" t="n">
        <x:v>0.4</x:v>
      </x:c>
      <x:c r="AD7" s="101" t="n">
        <x:v>0.2</x:v>
      </x:c>
      <x:c r="AE7" s="101" t="n">
        <x:v>-0.5</x:v>
      </x:c>
      <x:c r="AF7" s="101" t="n">
        <x:v>20</x:v>
      </x:c>
      <x:c r="AG7" s="101" t="n">
        <x:v>4</x:v>
      </x:c>
      <x:c r="AH7" s="101" t="n">
        <x:v>2</x:v>
      </x:c>
      <x:c r="AI7" s="96" t="n">
        <x:v>50</x:v>
      </x:c>
    </x:row>
    <x:row r="8" ht="24" hidden="0" customHeight="1">
      <x:c r="A8" s="96" t="n">
        <x:v>7</x:v>
      </x:c>
      <x:c r="B8" s="96" t="str">
        <x:v>1</x:v>
      </x:c>
      <x:c r="C8" s="96" t="str">
        <x:v>Bilobalide</x:v>
      </x:c>
      <x:c r="D8" s="96" t="n">
        <x:v>73581</x:v>
      </x:c>
      <x:c r="E8" s="98" t="str">
        <x:v>CC(C)(C)[C@@]1(C[C@H]2[C@@]3([C@]14[C@H](C(=O)O[C@H]4OC3=O)O)CC(=O)O2)O</x:v>
      </x:c>
      <x:c r="F8" s="98" t="str">
        <x:v>O=C1O[C@@H]2[C@@]3(C1)C(=O)O[C@H]1[C@]3([C@](C2)(O)C(C)(C)C)[C@@H](O)C(=O)O1</x:v>
      </x:c>
      <x:c r="G8" s="98" t="str">
        <x:v>Both SMILES resolved to PubChem CID 73581 by PUG REST fastidentity (2026-07-14)</x:v>
      </x:c>
      <x:c r="H8" s="96" t="str">
        <x:v>P41145</x:v>
      </x:c>
      <x:c r="I8" s="98" t="str">
        <x:v>Kappa-type opioid receptor (K-OR-1) (KOR-1)</x:v>
      </x:c>
      <x:c r="J8" s="98" t="str">
        <x:v>G-protein coupled receptor 1 family</x:v>
      </x:c>
      <x:c r="K8" s="96" t="str">
        <x:v>OPRK1</x:v>
      </x:c>
      <x:c r="L8" s="96" t="str">
        <x:v>4986;</x:v>
      </x:c>
      <x:c r="M8" s="96" t="str">
        <x:v>4986</x:v>
      </x:c>
      <x:c r="N8" s="96" t="str">
        <x:v>Homo sapiens (Human)</x:v>
      </x:c>
      <x:c r="O8" s="100" t="n">
        <x:v>9606</x:v>
      </x:c>
      <x:c r="P8" s="99" t="n">
        <x:v>1.89741</x:v>
      </x:c>
      <x:c r="Q8" s="96" t="str">
        <x:v>7</x:v>
      </x:c>
      <x:c r="R8" s="100" t="n">
        <x:v>7</x:v>
      </x:c>
      <x:c r="S8" s="96" t="str">
        <x:v>NetInfer_Prediction</x:v>
      </x:c>
      <x:c r="T8" s="97" t="b">
        <x:v>1</x:v>
      </x:c>
      <x:c r="U8" s="96" t="str">
        <x:v>Top20_priority</x:v>
      </x:c>
      <x:c r="V8" s="96" t="str">
        <x:v>prediction_only</x:v>
      </x:c>
      <x:c r="W8" s="98" t="str">
        <x:v>Include_as_NetInfer_prediction</x:v>
      </x:c>
      <x:c r="X8" s="98" t="str">
        <x:v>wSDTNBI ranking score; not probability, confidence, affinity, or IC50</x:v>
      </x:c>
      <x:c r="Y8" s="98" t="str"/>
      <x:c r="Z8" s="96" t="str">
        <x:v>wSDTNBI</x:v>
      </x:c>
      <x:c r="AA8" s="98" t="str">
        <x:v>Global DTI network (version 2020)</x:v>
      </x:c>
      <x:c r="AB8" s="98" t="str">
        <x:v>Morgan fingerprint, FCFP_4-like (radius=2, useFeatures=True)</x:v>
      </x:c>
      <x:c r="AC8" s="101" t="n">
        <x:v>0.4</x:v>
      </x:c>
      <x:c r="AD8" s="101" t="n">
        <x:v>0.2</x:v>
      </x:c>
      <x:c r="AE8" s="101" t="n">
        <x:v>-0.5</x:v>
      </x:c>
      <x:c r="AF8" s="101" t="n">
        <x:v>20</x:v>
      </x:c>
      <x:c r="AG8" s="101" t="n">
        <x:v>4</x:v>
      </x:c>
      <x:c r="AH8" s="101" t="n">
        <x:v>2</x:v>
      </x:c>
      <x:c r="AI8" s="96" t="n">
        <x:v>50</x:v>
      </x:c>
    </x:row>
    <x:row r="9" ht="24" hidden="0" customHeight="1">
      <x:c r="A9" s="96" t="n">
        <x:v>8</x:v>
      </x:c>
      <x:c r="B9" s="96" t="str">
        <x:v>1</x:v>
      </x:c>
      <x:c r="C9" s="96" t="str">
        <x:v>Bilobalide</x:v>
      </x:c>
      <x:c r="D9" s="96" t="n">
        <x:v>73581</x:v>
      </x:c>
      <x:c r="E9" s="98" t="str">
        <x:v>CC(C)(C)[C@@]1(C[C@H]2[C@@]3([C@]14[C@H](C(=O)O[C@H]4OC3=O)O)CC(=O)O2)O</x:v>
      </x:c>
      <x:c r="F9" s="98" t="str">
        <x:v>O=C1O[C@@H]2[C@@]3(C1)C(=O)O[C@H]1[C@]3([C@](C2)(O)C(C)(C)C)[C@@H](O)C(=O)O1</x:v>
      </x:c>
      <x:c r="G9" s="98" t="str">
        <x:v>Both SMILES resolved to PubChem CID 73581 by PUG REST fastidentity (2026-07-14)</x:v>
      </x:c>
      <x:c r="H9" s="96" t="str">
        <x:v>P10275</x:v>
      </x:c>
      <x:c r="I9" s="98" t="str">
        <x:v>Androgen receptor (Dihydrotestosterone receptor) (Nuclear receptor subfamily 3 group C member 4)</x:v>
      </x:c>
      <x:c r="J9" s="98" t="str">
        <x:v>Nuclear hormone receptor family, NR3 subfamily</x:v>
      </x:c>
      <x:c r="K9" s="96" t="str">
        <x:v>AR</x:v>
      </x:c>
      <x:c r="L9" s="96" t="str">
        <x:v>367;</x:v>
      </x:c>
      <x:c r="M9" s="96" t="str">
        <x:v>367</x:v>
      </x:c>
      <x:c r="N9" s="96" t="str">
        <x:v>Homo sapiens (Human)</x:v>
      </x:c>
      <x:c r="O9" s="100" t="n">
        <x:v>9606</x:v>
      </x:c>
      <x:c r="P9" s="99" t="n">
        <x:v>1.83044</x:v>
      </x:c>
      <x:c r="Q9" s="96" t="str">
        <x:v>8</x:v>
      </x:c>
      <x:c r="R9" s="100" t="n">
        <x:v>8</x:v>
      </x:c>
      <x:c r="S9" s="96" t="str">
        <x:v>NetInfer_Prediction</x:v>
      </x:c>
      <x:c r="T9" s="97" t="b">
        <x:v>1</x:v>
      </x:c>
      <x:c r="U9" s="96" t="str">
        <x:v>Top20_priority</x:v>
      </x:c>
      <x:c r="V9" s="96" t="str">
        <x:v>prediction_only</x:v>
      </x:c>
      <x:c r="W9" s="98" t="str">
        <x:v>Include_as_NetInfer_prediction</x:v>
      </x:c>
      <x:c r="X9" s="98" t="str">
        <x:v>wSDTNBI ranking score; not probability, confidence, affinity, or IC50</x:v>
      </x:c>
      <x:c r="Y9" s="98" t="str"/>
      <x:c r="Z9" s="96" t="str">
        <x:v>wSDTNBI</x:v>
      </x:c>
      <x:c r="AA9" s="98" t="str">
        <x:v>Global DTI network (version 2020)</x:v>
      </x:c>
      <x:c r="AB9" s="98" t="str">
        <x:v>Morgan fingerprint, FCFP_4-like (radius=2, useFeatures=True)</x:v>
      </x:c>
      <x:c r="AC9" s="101" t="n">
        <x:v>0.4</x:v>
      </x:c>
      <x:c r="AD9" s="101" t="n">
        <x:v>0.2</x:v>
      </x:c>
      <x:c r="AE9" s="101" t="n">
        <x:v>-0.5</x:v>
      </x:c>
      <x:c r="AF9" s="101" t="n">
        <x:v>20</x:v>
      </x:c>
      <x:c r="AG9" s="101" t="n">
        <x:v>4</x:v>
      </x:c>
      <x:c r="AH9" s="101" t="n">
        <x:v>2</x:v>
      </x:c>
      <x:c r="AI9" s="96" t="n">
        <x:v>50</x:v>
      </x:c>
    </x:row>
    <x:row r="10" ht="48" hidden="0" customHeight="1">
      <x:c r="A10" s="96" t="n">
        <x:v>9</x:v>
      </x:c>
      <x:c r="B10" s="96" t="str">
        <x:v>1</x:v>
      </x:c>
      <x:c r="C10" s="96" t="str">
        <x:v>Bilobalide</x:v>
      </x:c>
      <x:c r="D10" s="96" t="n">
        <x:v>73581</x:v>
      </x:c>
      <x:c r="E10" s="98" t="str">
        <x:v>CC(C)(C)[C@@]1(C[C@H]2[C@@]3([C@]14[C@H](C(=O)O[C@H]4OC3=O)O)CC(=O)O2)O</x:v>
      </x:c>
      <x:c r="F10" s="98" t="str">
        <x:v>O=C1O[C@@H]2[C@@]3(C1)C(=O)O[C@H]1[C@]3([C@](C2)(O)C(C)(C)C)[C@@H](O)C(=O)O1</x:v>
      </x:c>
      <x:c r="G10" s="98" t="str">
        <x:v>Both SMILES resolved to PubChem CID 73581 by PUG REST fastidentity (2026-07-14)</x:v>
      </x:c>
      <x:c r="H10" s="96" t="str">
        <x:v>O60502</x:v>
      </x:c>
      <x:c r="I10" s="98" t="str">
        <x:v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x:v>
      </x:c>
      <x:c r="J10" s="98" t="str">
        <x:v>Glycosyl hydrolase 84 family</x:v>
      </x:c>
      <x:c r="K10" s="96" t="str">
        <x:v>OGA</x:v>
      </x:c>
      <x:c r="L10" s="96" t="str">
        <x:v>10724;</x:v>
      </x:c>
      <x:c r="M10" s="96" t="str">
        <x:v>10724</x:v>
      </x:c>
      <x:c r="N10" s="96" t="str">
        <x:v>Homo sapiens (Human)</x:v>
      </x:c>
      <x:c r="O10" s="100" t="n">
        <x:v>9606</x:v>
      </x:c>
      <x:c r="P10" s="99" t="n">
        <x:v>1.73241</x:v>
      </x:c>
      <x:c r="Q10" s="96" t="str">
        <x:v>9</x:v>
      </x:c>
      <x:c r="R10" s="100" t="n">
        <x:v>9</x:v>
      </x:c>
      <x:c r="S10" s="96" t="str">
        <x:v>NetInfer_Prediction</x:v>
      </x:c>
      <x:c r="T10" s="97" t="b">
        <x:v>1</x:v>
      </x:c>
      <x:c r="U10" s="96" t="str">
        <x:v>Top20_priority</x:v>
      </x:c>
      <x:c r="V10" s="96" t="str">
        <x:v>prediction_only</x:v>
      </x:c>
      <x:c r="W10" s="98" t="str">
        <x:v>Include_as_NetInfer_prediction</x:v>
      </x:c>
      <x:c r="X10" s="98" t="str">
        <x:v>wSDTNBI ranking score; not probability, confidence, affinity, or IC50</x:v>
      </x:c>
      <x:c r="Y10" s="98" t="str"/>
      <x:c r="Z10" s="96" t="str">
        <x:v>wSDTNBI</x:v>
      </x:c>
      <x:c r="AA10" s="98" t="str">
        <x:v>Global DTI network (version 2020)</x:v>
      </x:c>
      <x:c r="AB10" s="98" t="str">
        <x:v>Morgan fingerprint, FCFP_4-like (radius=2, useFeatures=True)</x:v>
      </x:c>
      <x:c r="AC10" s="101" t="n">
        <x:v>0.4</x:v>
      </x:c>
      <x:c r="AD10" s="101" t="n">
        <x:v>0.2</x:v>
      </x:c>
      <x:c r="AE10" s="101" t="n">
        <x:v>-0.5</x:v>
      </x:c>
      <x:c r="AF10" s="101" t="n">
        <x:v>20</x:v>
      </x:c>
      <x:c r="AG10" s="101" t="n">
        <x:v>4</x:v>
      </x:c>
      <x:c r="AH10" s="101" t="n">
        <x:v>2</x:v>
      </x:c>
      <x:c r="AI10" s="96" t="n">
        <x:v>50</x:v>
      </x:c>
    </x:row>
    <x:row r="11" ht="36" hidden="0" customHeight="1">
      <x:c r="A11" s="96" t="n">
        <x:v>10</x:v>
      </x:c>
      <x:c r="B11" s="96" t="str">
        <x:v>1</x:v>
      </x:c>
      <x:c r="C11" s="96" t="str">
        <x:v>Bilobalide</x:v>
      </x:c>
      <x:c r="D11" s="96" t="n">
        <x:v>73581</x:v>
      </x:c>
      <x:c r="E11" s="98" t="str">
        <x:v>CC(C)(C)[C@@]1(C[C@H]2[C@@]3([C@]14[C@H](C(=O)O[C@H]4OC3=O)O)CC(=O)O2)O</x:v>
      </x:c>
      <x:c r="F11" s="98" t="str">
        <x:v>O=C1O[C@@H]2[C@@]3(C1)C(=O)O[C@H]1[C@]3([C@](C2)(O)C(C)(C)C)[C@@H](O)C(=O)O1</x:v>
      </x:c>
      <x:c r="G11" s="98" t="str">
        <x:v>Both SMILES resolved to PubChem CID 73581 by PUG REST fastidentity (2026-07-14)</x:v>
      </x:c>
      <x:c r="H11" s="96" t="str">
        <x:v>P04278</x:v>
      </x:c>
      <x:c r="I11" s="98" t="str">
        <x:v>Sex hormone-binding globulin (SHBG) (Sex steroid-binding protein) (SBP) (Testis-specific androgen-binding protein) (ABP) (Testosterone-estradiol-binding globulin) (TeBG) (Testosterone-estrogen-binding globulin)</x:v>
      </x:c>
      <x:c r="J11" s="98" t="str">
        <x:v>NA</x:v>
      </x:c>
      <x:c r="K11" s="96" t="str">
        <x:v>SHBG</x:v>
      </x:c>
      <x:c r="L11" s="96" t="str">
        <x:v>6462;</x:v>
      </x:c>
      <x:c r="M11" s="96" t="str">
        <x:v>6462</x:v>
      </x:c>
      <x:c r="N11" s="96" t="str">
        <x:v>Homo sapiens (Human)</x:v>
      </x:c>
      <x:c r="O11" s="100" t="n">
        <x:v>9606</x:v>
      </x:c>
      <x:c r="P11" s="99" t="n">
        <x:v>1.65222</x:v>
      </x:c>
      <x:c r="Q11" s="96" t="str">
        <x:v>10</x:v>
      </x:c>
      <x:c r="R11" s="100" t="n">
        <x:v>10</x:v>
      </x:c>
      <x:c r="S11" s="96" t="str">
        <x:v>NetInfer_Prediction</x:v>
      </x:c>
      <x:c r="T11" s="97" t="b">
        <x:v>1</x:v>
      </x:c>
      <x:c r="U11" s="96" t="str">
        <x:v>Top20_priority</x:v>
      </x:c>
      <x:c r="V11" s="96" t="str">
        <x:v>prediction_only</x:v>
      </x:c>
      <x:c r="W11" s="98" t="str">
        <x:v>Include_as_NetInfer_prediction</x:v>
      </x:c>
      <x:c r="X11" s="98" t="str">
        <x:v>wSDTNBI ranking score; not probability, confidence, affinity, or IC50</x:v>
      </x:c>
      <x:c r="Y11" s="98" t="str">
        <x:v>Protein family absent in platform export; retained as NA</x:v>
      </x:c>
      <x:c r="Z11" s="96" t="str">
        <x:v>wSDTNBI</x:v>
      </x:c>
      <x:c r="AA11" s="98" t="str">
        <x:v>Global DTI network (version 2020)</x:v>
      </x:c>
      <x:c r="AB11" s="98" t="str">
        <x:v>Morgan fingerprint, FCFP_4-like (radius=2, useFeatures=True)</x:v>
      </x:c>
      <x:c r="AC11" s="101" t="n">
        <x:v>0.4</x:v>
      </x:c>
      <x:c r="AD11" s="101" t="n">
        <x:v>0.2</x:v>
      </x:c>
      <x:c r="AE11" s="101" t="n">
        <x:v>-0.5</x:v>
      </x:c>
      <x:c r="AF11" s="101" t="n">
        <x:v>20</x:v>
      </x:c>
      <x:c r="AG11" s="101" t="n">
        <x:v>4</x:v>
      </x:c>
      <x:c r="AH11" s="101" t="n">
        <x:v>2</x:v>
      </x:c>
      <x:c r="AI11" s="96" t="n">
        <x:v>50</x:v>
      </x:c>
    </x:row>
    <x:row r="12" ht="36" hidden="0" customHeight="1">
      <x:c r="A12" s="96" t="n">
        <x:v>11</x:v>
      </x:c>
      <x:c r="B12" s="96" t="str">
        <x:v>1</x:v>
      </x:c>
      <x:c r="C12" s="96" t="str">
        <x:v>Bilobalide</x:v>
      </x:c>
      <x:c r="D12" s="96" t="n">
        <x:v>73581</x:v>
      </x:c>
      <x:c r="E12" s="98" t="str">
        <x:v>CC(C)(C)[C@@]1(C[C@H]2[C@@]3([C@]14[C@H](C(=O)O[C@H]4OC3=O)O)CC(=O)O2)O</x:v>
      </x:c>
      <x:c r="F12" s="98" t="str">
        <x:v>O=C1O[C@@H]2[C@@]3(C1)C(=O)O[C@H]1[C@]3([C@](C2)(O)C(C)(C)C)[C@@H](O)C(=O)O1</x:v>
      </x:c>
      <x:c r="G12" s="98" t="str">
        <x:v>Both SMILES resolved to PubChem CID 73581 by PUG REST fastidentity (2026-07-14)</x:v>
      </x:c>
      <x:c r="H12" s="96" t="str">
        <x:v>Q9GZZ6</x:v>
      </x:c>
      <x:c r="I12" s="98" t="str">
        <x:v>Neuronal acetylcholine receptor subunit alpha-10 (Nicotinic acetylcholine receptor subunit alpha-10) (NACHR alpha-10)</x:v>
      </x:c>
      <x:c r="J12" s="98" t="str">
        <x:v>Ligand-gated ion channel (TC 1.A.9) family, Acetylcholine receptor (TC 1.A.9.1) subfamily, Alpha-10/CHRNA10 sub-subfamily</x:v>
      </x:c>
      <x:c r="K12" s="96" t="str">
        <x:v>CHRNA10</x:v>
      </x:c>
      <x:c r="L12" s="96" t="str">
        <x:v>57053;</x:v>
      </x:c>
      <x:c r="M12" s="96" t="str">
        <x:v>57053</x:v>
      </x:c>
      <x:c r="N12" s="96" t="str">
        <x:v>Homo sapiens (Human)</x:v>
      </x:c>
      <x:c r="O12" s="100" t="n">
        <x:v>9606</x:v>
      </x:c>
      <x:c r="P12" s="99" t="n">
        <x:v>1.64045</x:v>
      </x:c>
      <x:c r="Q12" s="96" t="str">
        <x:v>11</x:v>
      </x:c>
      <x:c r="R12" s="100" t="n">
        <x:v>11</x:v>
      </x:c>
      <x:c r="S12" s="96" t="str">
        <x:v>NetInfer_Prediction</x:v>
      </x:c>
      <x:c r="T12" s="97" t="b">
        <x:v>1</x:v>
      </x:c>
      <x:c r="U12" s="96" t="str">
        <x:v>Top20_priority</x:v>
      </x:c>
      <x:c r="V12" s="96" t="str">
        <x:v>prediction_only</x:v>
      </x:c>
      <x:c r="W12" s="98" t="str">
        <x:v>Include_as_NetInfer_prediction</x:v>
      </x:c>
      <x:c r="X12" s="98" t="str">
        <x:v>wSDTNBI ranking score; not probability, confidence, affinity, or IC50</x:v>
      </x:c>
      <x:c r="Y12" s="98" t="str"/>
      <x:c r="Z12" s="96" t="str">
        <x:v>wSDTNBI</x:v>
      </x:c>
      <x:c r="AA12" s="98" t="str">
        <x:v>Global DTI network (version 2020)</x:v>
      </x:c>
      <x:c r="AB12" s="98" t="str">
        <x:v>Morgan fingerprint, FCFP_4-like (radius=2, useFeatures=True)</x:v>
      </x:c>
      <x:c r="AC12" s="101" t="n">
        <x:v>0.4</x:v>
      </x:c>
      <x:c r="AD12" s="101" t="n">
        <x:v>0.2</x:v>
      </x:c>
      <x:c r="AE12" s="101" t="n">
        <x:v>-0.5</x:v>
      </x:c>
      <x:c r="AF12" s="101" t="n">
        <x:v>20</x:v>
      </x:c>
      <x:c r="AG12" s="101" t="n">
        <x:v>4</x:v>
      </x:c>
      <x:c r="AH12" s="101" t="n">
        <x:v>2</x:v>
      </x:c>
      <x:c r="AI12" s="96" t="n">
        <x:v>50</x:v>
      </x:c>
    </x:row>
    <x:row r="13" ht="36" hidden="0" customHeight="1">
      <x:c r="A13" s="96" t="n">
        <x:v>12</x:v>
      </x:c>
      <x:c r="B13" s="96" t="str">
        <x:v>1</x:v>
      </x:c>
      <x:c r="C13" s="96" t="str">
        <x:v>Bilobalide</x:v>
      </x:c>
      <x:c r="D13" s="96" t="n">
        <x:v>73581</x:v>
      </x:c>
      <x:c r="E13" s="98" t="str">
        <x:v>CC(C)(C)[C@@]1(C[C@H]2[C@@]3([C@]14[C@H](C(=O)O[C@H]4OC3=O)O)CC(=O)O2)O</x:v>
      </x:c>
      <x:c r="F13" s="98" t="str">
        <x:v>O=C1O[C@@H]2[C@@]3(C1)C(=O)O[C@H]1[C@]3([C@](C2)(O)C(C)(C)C)[C@@H](O)C(=O)O1</x:v>
      </x:c>
      <x:c r="G13" s="98" t="str">
        <x:v>Both SMILES resolved to PubChem CID 73581 by PUG REST fastidentity (2026-07-14)</x:v>
      </x:c>
      <x:c r="H13" s="96" t="str">
        <x:v>Q9UGM1</x:v>
      </x:c>
      <x:c r="I13" s="98" t="str">
        <x:v>Neuronal acetylcholine receptor subunit alpha-9 (Nicotinic acetylcholine receptor subunit alpha-9) (NACHR alpha-9)</x:v>
      </x:c>
      <x:c r="J13" s="98" t="str">
        <x:v>Ligand-gated ion channel (TC 1.A.9) family, Acetylcholine receptor (TC 1.A.9.1) subfamily, Alpha-9/CHRNA9 sub-subfamily</x:v>
      </x:c>
      <x:c r="K13" s="96" t="str">
        <x:v>CHRNA9</x:v>
      </x:c>
      <x:c r="L13" s="96" t="str">
        <x:v>55584;</x:v>
      </x:c>
      <x:c r="M13" s="96" t="str">
        <x:v>55584</x:v>
      </x:c>
      <x:c r="N13" s="96" t="str">
        <x:v>Homo sapiens (Human)</x:v>
      </x:c>
      <x:c r="O13" s="100" t="n">
        <x:v>9606</x:v>
      </x:c>
      <x:c r="P13" s="99" t="n">
        <x:v>1.64045</x:v>
      </x:c>
      <x:c r="Q13" s="96" t="str">
        <x:v>12</x:v>
      </x:c>
      <x:c r="R13" s="100" t="n">
        <x:v>12</x:v>
      </x:c>
      <x:c r="S13" s="96" t="str">
        <x:v>NetInfer_Prediction</x:v>
      </x:c>
      <x:c r="T13" s="97" t="b">
        <x:v>1</x:v>
      </x:c>
      <x:c r="U13" s="96" t="str">
        <x:v>Top20_priority</x:v>
      </x:c>
      <x:c r="V13" s="96" t="str">
        <x:v>prediction_only</x:v>
      </x:c>
      <x:c r="W13" s="98" t="str">
        <x:v>Include_as_NetInfer_prediction</x:v>
      </x:c>
      <x:c r="X13" s="98" t="str">
        <x:v>wSDTNBI ranking score; not probability, confidence, affinity, or IC50</x:v>
      </x:c>
      <x:c r="Y13" s="98" t="str"/>
      <x:c r="Z13" s="96" t="str">
        <x:v>wSDTNBI</x:v>
      </x:c>
      <x:c r="AA13" s="98" t="str">
        <x:v>Global DTI network (version 2020)</x:v>
      </x:c>
      <x:c r="AB13" s="98" t="str">
        <x:v>Morgan fingerprint, FCFP_4-like (radius=2, useFeatures=True)</x:v>
      </x:c>
      <x:c r="AC13" s="101" t="n">
        <x:v>0.4</x:v>
      </x:c>
      <x:c r="AD13" s="101" t="n">
        <x:v>0.2</x:v>
      </x:c>
      <x:c r="AE13" s="101" t="n">
        <x:v>-0.5</x:v>
      </x:c>
      <x:c r="AF13" s="101" t="n">
        <x:v>20</x:v>
      </x:c>
      <x:c r="AG13" s="101" t="n">
        <x:v>4</x:v>
      </x:c>
      <x:c r="AH13" s="101" t="n">
        <x:v>2</x:v>
      </x:c>
      <x:c r="AI13" s="96" t="n">
        <x:v>50</x:v>
      </x:c>
    </x:row>
    <x:row r="14" ht="24" hidden="0" customHeight="1">
      <x:c r="A14" s="96" t="n">
        <x:v>13</x:v>
      </x:c>
      <x:c r="B14" s="96" t="str">
        <x:v>1</x:v>
      </x:c>
      <x:c r="C14" s="96" t="str">
        <x:v>Bilobalide</x:v>
      </x:c>
      <x:c r="D14" s="96" t="n">
        <x:v>73581</x:v>
      </x:c>
      <x:c r="E14" s="98" t="str">
        <x:v>CC(C)(C)[C@@]1(C[C@H]2[C@@]3([C@]14[C@H](C(=O)O[C@H]4OC3=O)O)CC(=O)O2)O</x:v>
      </x:c>
      <x:c r="F14" s="98" t="str">
        <x:v>O=C1O[C@@H]2[C@@]3(C1)C(=O)O[C@H]1[C@]3([C@](C2)(O)C(C)(C)C)[C@@H](O)C(=O)O1</x:v>
      </x:c>
      <x:c r="G14" s="98" t="str">
        <x:v>Both SMILES resolved to PubChem CID 73581 by PUG REST fastidentity (2026-07-14)</x:v>
      </x:c>
      <x:c r="H14" s="96" t="str">
        <x:v>P04035</x:v>
      </x:c>
      <x:c r="I14" s="98" t="str">
        <x:v>3-hydroxy-3-methylglutaryl-coenzyme A reductase (HMG-CoA reductase) (EC 1.1.1.34)</x:v>
      </x:c>
      <x:c r="J14" s="98" t="str">
        <x:v>HMG-CoA reductase family</x:v>
      </x:c>
      <x:c r="K14" s="96" t="str">
        <x:v>HMGCR</x:v>
      </x:c>
      <x:c r="L14" s="96" t="str">
        <x:v>3156;</x:v>
      </x:c>
      <x:c r="M14" s="96" t="str">
        <x:v>3156</x:v>
      </x:c>
      <x:c r="N14" s="96" t="str">
        <x:v>Homo sapiens (Human)</x:v>
      </x:c>
      <x:c r="O14" s="100" t="n">
        <x:v>9606</x:v>
      </x:c>
      <x:c r="P14" s="99" t="n">
        <x:v>1.60169</x:v>
      </x:c>
      <x:c r="Q14" s="96" t="str">
        <x:v>13</x:v>
      </x:c>
      <x:c r="R14" s="100" t="n">
        <x:v>13</x:v>
      </x:c>
      <x:c r="S14" s="96" t="str">
        <x:v>NetInfer_Prediction</x:v>
      </x:c>
      <x:c r="T14" s="97" t="b">
        <x:v>1</x:v>
      </x:c>
      <x:c r="U14" s="96" t="str">
        <x:v>Top20_priority</x:v>
      </x:c>
      <x:c r="V14" s="96" t="str">
        <x:v>prediction_only</x:v>
      </x:c>
      <x:c r="W14" s="98" t="str">
        <x:v>Include_as_NetInfer_prediction</x:v>
      </x:c>
      <x:c r="X14" s="98" t="str">
        <x:v>wSDTNBI ranking score; not probability, confidence, affinity, or IC50</x:v>
      </x:c>
      <x:c r="Y14" s="98" t="str"/>
      <x:c r="Z14" s="96" t="str">
        <x:v>wSDTNBI</x:v>
      </x:c>
      <x:c r="AA14" s="98" t="str">
        <x:v>Global DTI network (version 2020)</x:v>
      </x:c>
      <x:c r="AB14" s="98" t="str">
        <x:v>Morgan fingerprint, FCFP_4-like (radius=2, useFeatures=True)</x:v>
      </x:c>
      <x:c r="AC14" s="101" t="n">
        <x:v>0.4</x:v>
      </x:c>
      <x:c r="AD14" s="101" t="n">
        <x:v>0.2</x:v>
      </x:c>
      <x:c r="AE14" s="101" t="n">
        <x:v>-0.5</x:v>
      </x:c>
      <x:c r="AF14" s="101" t="n">
        <x:v>20</x:v>
      </x:c>
      <x:c r="AG14" s="101" t="n">
        <x:v>4</x:v>
      </x:c>
      <x:c r="AH14" s="101" t="n">
        <x:v>2</x:v>
      </x:c>
      <x:c r="AI14" s="96" t="n">
        <x:v>50</x:v>
      </x:c>
    </x:row>
    <x:row r="15" ht="24" hidden="0" customHeight="1">
      <x:c r="A15" s="96" t="n">
        <x:v>14</x:v>
      </x:c>
      <x:c r="B15" s="96" t="str">
        <x:v>1</x:v>
      </x:c>
      <x:c r="C15" s="96" t="str">
        <x:v>Bilobalide</x:v>
      </x:c>
      <x:c r="D15" s="96" t="n">
        <x:v>73581</x:v>
      </x:c>
      <x:c r="E15" s="98" t="str">
        <x:v>CC(C)(C)[C@@]1(C[C@H]2[C@@]3([C@]14[C@H](C(=O)O[C@H]4OC3=O)O)CC(=O)O2)O</x:v>
      </x:c>
      <x:c r="F15" s="98" t="str">
        <x:v>O=C1O[C@@H]2[C@@]3(C1)C(=O)O[C@H]1[C@]3([C@](C2)(O)C(C)(C)C)[C@@H](O)C(=O)O1</x:v>
      </x:c>
      <x:c r="G15" s="98" t="str">
        <x:v>Both SMILES resolved to PubChem CID 73581 by PUG REST fastidentity (2026-07-14)</x:v>
      </x:c>
      <x:c r="H15" s="96" t="str">
        <x:v>P08842</x:v>
      </x:c>
      <x:c r="I15" s="98" t="str">
        <x:v>Steryl-sulfatase (EC 3.1.6.2) (Arylsulfatase C) (ASC) (Steroid sulfatase) (Steryl-sulfate sulfohydrolase)</x:v>
      </x:c>
      <x:c r="J15" s="98" t="str">
        <x:v>Sulfatase family</x:v>
      </x:c>
      <x:c r="K15" s="96" t="str">
        <x:v>STS</x:v>
      </x:c>
      <x:c r="L15" s="96" t="str">
        <x:v>412;</x:v>
      </x:c>
      <x:c r="M15" s="96" t="str">
        <x:v>412</x:v>
      </x:c>
      <x:c r="N15" s="96" t="str">
        <x:v>Homo sapiens (Human)</x:v>
      </x:c>
      <x:c r="O15" s="100" t="n">
        <x:v>9606</x:v>
      </x:c>
      <x:c r="P15" s="99" t="n">
        <x:v>1.52669</x:v>
      </x:c>
      <x:c r="Q15" s="96" t="str">
        <x:v>14</x:v>
      </x:c>
      <x:c r="R15" s="100" t="n">
        <x:v>14</x:v>
      </x:c>
      <x:c r="S15" s="96" t="str">
        <x:v>NetInfer_Prediction</x:v>
      </x:c>
      <x:c r="T15" s="97" t="b">
        <x:v>1</x:v>
      </x:c>
      <x:c r="U15" s="96" t="str">
        <x:v>Top20_priority</x:v>
      </x:c>
      <x:c r="V15" s="96" t="str">
        <x:v>prediction_only</x:v>
      </x:c>
      <x:c r="W15" s="98" t="str">
        <x:v>Include_as_NetInfer_prediction</x:v>
      </x:c>
      <x:c r="X15" s="98" t="str">
        <x:v>wSDTNBI ranking score; not probability, confidence, affinity, or IC50</x:v>
      </x:c>
      <x:c r="Y15" s="98" t="str"/>
      <x:c r="Z15" s="96" t="str">
        <x:v>wSDTNBI</x:v>
      </x:c>
      <x:c r="AA15" s="98" t="str">
        <x:v>Global DTI network (version 2020)</x:v>
      </x:c>
      <x:c r="AB15" s="98" t="str">
        <x:v>Morgan fingerprint, FCFP_4-like (radius=2, useFeatures=True)</x:v>
      </x:c>
      <x:c r="AC15" s="101" t="n">
        <x:v>0.4</x:v>
      </x:c>
      <x:c r="AD15" s="101" t="n">
        <x:v>0.2</x:v>
      </x:c>
      <x:c r="AE15" s="101" t="n">
        <x:v>-0.5</x:v>
      </x:c>
      <x:c r="AF15" s="101" t="n">
        <x:v>20</x:v>
      </x:c>
      <x:c r="AG15" s="101" t="n">
        <x:v>4</x:v>
      </x:c>
      <x:c r="AH15" s="101" t="n">
        <x:v>2</x:v>
      </x:c>
      <x:c r="AI15" s="96" t="n">
        <x:v>50</x:v>
      </x:c>
    </x:row>
    <x:row r="16" ht="24" hidden="0" customHeight="1">
      <x:c r="A16" s="96" t="n">
        <x:v>15</x:v>
      </x:c>
      <x:c r="B16" s="96" t="str">
        <x:v>1</x:v>
      </x:c>
      <x:c r="C16" s="96" t="str">
        <x:v>Bilobalide</x:v>
      </x:c>
      <x:c r="D16" s="96" t="n">
        <x:v>73581</x:v>
      </x:c>
      <x:c r="E16" s="98" t="str">
        <x:v>CC(C)(C)[C@@]1(C[C@H]2[C@@]3([C@]14[C@H](C(=O)O[C@H]4OC3=O)O)CC(=O)O2)O</x:v>
      </x:c>
      <x:c r="F16" s="98" t="str">
        <x:v>O=C1O[C@@H]2[C@@]3(C1)C(=O)O[C@H]1[C@]3([C@](C2)(O)C(C)(C)C)[C@@H](O)C(=O)O1</x:v>
      </x:c>
      <x:c r="G16" s="98" t="str">
        <x:v>Both SMILES resolved to PubChem CID 73581 by PUG REST fastidentity (2026-07-14)</x:v>
      </x:c>
      <x:c r="H16" s="96" t="str">
        <x:v>P21554</x:v>
      </x:c>
      <x:c r="I16" s="98" t="str">
        <x:v>Cannabinoid receptor 1 (CB-R) (CB1) (CANN6)</x:v>
      </x:c>
      <x:c r="J16" s="98" t="str">
        <x:v>G-protein coupled receptor 1 family</x:v>
      </x:c>
      <x:c r="K16" s="96" t="str">
        <x:v>CNR1</x:v>
      </x:c>
      <x:c r="L16" s="96" t="str">
        <x:v>1268;</x:v>
      </x:c>
      <x:c r="M16" s="96" t="str">
        <x:v>1268</x:v>
      </x:c>
      <x:c r="N16" s="96" t="str">
        <x:v>Homo sapiens (Human)</x:v>
      </x:c>
      <x:c r="O16" s="100" t="n">
        <x:v>9606</x:v>
      </x:c>
      <x:c r="P16" s="99" t="n">
        <x:v>1.47848</x:v>
      </x:c>
      <x:c r="Q16" s="96" t="str">
        <x:v>15</x:v>
      </x:c>
      <x:c r="R16" s="100" t="n">
        <x:v>15</x:v>
      </x:c>
      <x:c r="S16" s="96" t="str">
        <x:v>NetInfer_Prediction</x:v>
      </x:c>
      <x:c r="T16" s="97" t="b">
        <x:v>1</x:v>
      </x:c>
      <x:c r="U16" s="96" t="str">
        <x:v>Top20_priority</x:v>
      </x:c>
      <x:c r="V16" s="96" t="str">
        <x:v>prediction_only</x:v>
      </x:c>
      <x:c r="W16" s="98" t="str">
        <x:v>Include_as_NetInfer_prediction</x:v>
      </x:c>
      <x:c r="X16" s="98" t="str">
        <x:v>wSDTNBI ranking score; not probability, confidence, affinity, or IC50</x:v>
      </x:c>
      <x:c r="Y16" s="98" t="str"/>
      <x:c r="Z16" s="96" t="str">
        <x:v>wSDTNBI</x:v>
      </x:c>
      <x:c r="AA16" s="98" t="str">
        <x:v>Global DTI network (version 2020)</x:v>
      </x:c>
      <x:c r="AB16" s="98" t="str">
        <x:v>Morgan fingerprint, FCFP_4-like (radius=2, useFeatures=True)</x:v>
      </x:c>
      <x:c r="AC16" s="101" t="n">
        <x:v>0.4</x:v>
      </x:c>
      <x:c r="AD16" s="101" t="n">
        <x:v>0.2</x:v>
      </x:c>
      <x:c r="AE16" s="101" t="n">
        <x:v>-0.5</x:v>
      </x:c>
      <x:c r="AF16" s="101" t="n">
        <x:v>20</x:v>
      </x:c>
      <x:c r="AG16" s="101" t="n">
        <x:v>4</x:v>
      </x:c>
      <x:c r="AH16" s="101" t="n">
        <x:v>2</x:v>
      </x:c>
      <x:c r="AI16" s="96" t="n">
        <x:v>50</x:v>
      </x:c>
    </x:row>
    <x:row r="17" ht="24" hidden="0" customHeight="1">
      <x:c r="A17" s="96" t="n">
        <x:v>16</x:v>
      </x:c>
      <x:c r="B17" s="96" t="str">
        <x:v>1</x:v>
      </x:c>
      <x:c r="C17" s="96" t="str">
        <x:v>Bilobalide</x:v>
      </x:c>
      <x:c r="D17" s="96" t="n">
        <x:v>73581</x:v>
      </x:c>
      <x:c r="E17" s="98" t="str">
        <x:v>CC(C)(C)[C@@]1(C[C@H]2[C@@]3([C@]14[C@H](C(=O)O[C@H]4OC3=O)O)CC(=O)O2)O</x:v>
      </x:c>
      <x:c r="F17" s="98" t="str">
        <x:v>O=C1O[C@@H]2[C@@]3(C1)C(=O)O[C@H]1[C@]3([C@](C2)(O)C(C)(C)C)[C@@H](O)C(=O)O1</x:v>
      </x:c>
      <x:c r="G17" s="98" t="str">
        <x:v>Both SMILES resolved to PubChem CID 73581 by PUG REST fastidentity (2026-07-14)</x:v>
      </x:c>
      <x:c r="H17" s="96" t="str">
        <x:v>P00797</x:v>
      </x:c>
      <x:c r="I17" s="98" t="str">
        <x:v>Renin (EC 3.4.23.15) (Angiotensinogenase)</x:v>
      </x:c>
      <x:c r="J17" s="98" t="str">
        <x:v>Peptidase A1 family</x:v>
      </x:c>
      <x:c r="K17" s="96" t="str">
        <x:v>REN</x:v>
      </x:c>
      <x:c r="L17" s="96" t="str">
        <x:v>5972;</x:v>
      </x:c>
      <x:c r="M17" s="96" t="str">
        <x:v>5972</x:v>
      </x:c>
      <x:c r="N17" s="96" t="str">
        <x:v>Homo sapiens (Human)</x:v>
      </x:c>
      <x:c r="O17" s="100" t="n">
        <x:v>9606</x:v>
      </x:c>
      <x:c r="P17" s="99" t="n">
        <x:v>1.47225</x:v>
      </x:c>
      <x:c r="Q17" s="96" t="str">
        <x:v>16</x:v>
      </x:c>
      <x:c r="R17" s="100" t="n">
        <x:v>16</x:v>
      </x:c>
      <x:c r="S17" s="96" t="str">
        <x:v>NetInfer_Prediction</x:v>
      </x:c>
      <x:c r="T17" s="97" t="b">
        <x:v>1</x:v>
      </x:c>
      <x:c r="U17" s="96" t="str">
        <x:v>Top20_priority</x:v>
      </x:c>
      <x:c r="V17" s="96" t="str">
        <x:v>prediction_only</x:v>
      </x:c>
      <x:c r="W17" s="98" t="str">
        <x:v>Include_as_NetInfer_prediction</x:v>
      </x:c>
      <x:c r="X17" s="98" t="str">
        <x:v>wSDTNBI ranking score; not probability, confidence, affinity, or IC50</x:v>
      </x:c>
      <x:c r="Y17" s="98" t="str"/>
      <x:c r="Z17" s="96" t="str">
        <x:v>wSDTNBI</x:v>
      </x:c>
      <x:c r="AA17" s="98" t="str">
        <x:v>Global DTI network (version 2020)</x:v>
      </x:c>
      <x:c r="AB17" s="98" t="str">
        <x:v>Morgan fingerprint, FCFP_4-like (radius=2, useFeatures=True)</x:v>
      </x:c>
      <x:c r="AC17" s="101" t="n">
        <x:v>0.4</x:v>
      </x:c>
      <x:c r="AD17" s="101" t="n">
        <x:v>0.2</x:v>
      </x:c>
      <x:c r="AE17" s="101" t="n">
        <x:v>-0.5</x:v>
      </x:c>
      <x:c r="AF17" s="101" t="n">
        <x:v>20</x:v>
      </x:c>
      <x:c r="AG17" s="101" t="n">
        <x:v>4</x:v>
      </x:c>
      <x:c r="AH17" s="101" t="n">
        <x:v>2</x:v>
      </x:c>
      <x:c r="AI17" s="96" t="n">
        <x:v>50</x:v>
      </x:c>
    </x:row>
    <x:row r="18" ht="24" hidden="0" customHeight="1">
      <x:c r="A18" s="96" t="n">
        <x:v>17</x:v>
      </x:c>
      <x:c r="B18" s="96" t="str">
        <x:v>1</x:v>
      </x:c>
      <x:c r="C18" s="96" t="str">
        <x:v>Bilobalide</x:v>
      </x:c>
      <x:c r="D18" s="96" t="n">
        <x:v>73581</x:v>
      </x:c>
      <x:c r="E18" s="98" t="str">
        <x:v>CC(C)(C)[C@@]1(C[C@H]2[C@@]3([C@]14[C@H](C(=O)O[C@H]4OC3=O)O)CC(=O)O2)O</x:v>
      </x:c>
      <x:c r="F18" s="98" t="str">
        <x:v>O=C1O[C@@H]2[C@@]3(C1)C(=O)O[C@H]1[C@]3([C@](C2)(O)C(C)(C)C)[C@@H](O)C(=O)O1</x:v>
      </x:c>
      <x:c r="G18" s="98" t="str">
        <x:v>Both SMILES resolved to PubChem CID 73581 by PUG REST fastidentity (2026-07-14)</x:v>
      </x:c>
      <x:c r="H18" s="96" t="str">
        <x:v>P53602</x:v>
      </x:c>
      <x:c r="I18" s="98" t="str">
        <x:v>Diphosphomevalonate decarboxylase (EC 4.1.1.33) (Mevalonate (diphospho)decarboxylase) (MDDase) (Mevalonate pyrophosphate decarboxylase)</x:v>
      </x:c>
      <x:c r="J18" s="98" t="str">
        <x:v>Diphosphomevalonate decarboxylase family</x:v>
      </x:c>
      <x:c r="K18" s="96" t="str">
        <x:v>MVD</x:v>
      </x:c>
      <x:c r="L18" s="96" t="str">
        <x:v>4597;</x:v>
      </x:c>
      <x:c r="M18" s="96" t="str">
        <x:v>4597</x:v>
      </x:c>
      <x:c r="N18" s="96" t="str">
        <x:v>Homo sapiens (Human)</x:v>
      </x:c>
      <x:c r="O18" s="100" t="n">
        <x:v>9606</x:v>
      </x:c>
      <x:c r="P18" s="99" t="n">
        <x:v>1.44222</x:v>
      </x:c>
      <x:c r="Q18" s="96" t="str">
        <x:v>17</x:v>
      </x:c>
      <x:c r="R18" s="100" t="n">
        <x:v>17</x:v>
      </x:c>
      <x:c r="S18" s="96" t="str">
        <x:v>NetInfer_Prediction</x:v>
      </x:c>
      <x:c r="T18" s="97" t="b">
        <x:v>1</x:v>
      </x:c>
      <x:c r="U18" s="96" t="str">
        <x:v>Top20_priority</x:v>
      </x:c>
      <x:c r="V18" s="96" t="str">
        <x:v>prediction_only</x:v>
      </x:c>
      <x:c r="W18" s="98" t="str">
        <x:v>Include_as_NetInfer_prediction</x:v>
      </x:c>
      <x:c r="X18" s="98" t="str">
        <x:v>wSDTNBI ranking score; not probability, confidence, affinity, or IC50</x:v>
      </x:c>
      <x:c r="Y18" s="98" t="str"/>
      <x:c r="Z18" s="96" t="str">
        <x:v>wSDTNBI</x:v>
      </x:c>
      <x:c r="AA18" s="98" t="str">
        <x:v>Global DTI network (version 2020)</x:v>
      </x:c>
      <x:c r="AB18" s="98" t="str">
        <x:v>Morgan fingerprint, FCFP_4-like (radius=2, useFeatures=True)</x:v>
      </x:c>
      <x:c r="AC18" s="101" t="n">
        <x:v>0.4</x:v>
      </x:c>
      <x:c r="AD18" s="101" t="n">
        <x:v>0.2</x:v>
      </x:c>
      <x:c r="AE18" s="101" t="n">
        <x:v>-0.5</x:v>
      </x:c>
      <x:c r="AF18" s="101" t="n">
        <x:v>20</x:v>
      </x:c>
      <x:c r="AG18" s="101" t="n">
        <x:v>4</x:v>
      </x:c>
      <x:c r="AH18" s="101" t="n">
        <x:v>2</x:v>
      </x:c>
      <x:c r="AI18" s="96" t="n">
        <x:v>50</x:v>
      </x:c>
    </x:row>
    <x:row r="19" ht="36" hidden="0" customHeight="1">
      <x:c r="A19" s="96" t="n">
        <x:v>18</x:v>
      </x:c>
      <x:c r="B19" s="96" t="str">
        <x:v>1</x:v>
      </x:c>
      <x:c r="C19" s="96" t="str">
        <x:v>Bilobalide</x:v>
      </x:c>
      <x:c r="D19" s="96" t="n">
        <x:v>73581</x:v>
      </x:c>
      <x:c r="E19" s="98" t="str">
        <x:v>CC(C)(C)[C@@]1(C[C@H]2[C@@]3([C@]14[C@H](C(=O)O[C@H]4OC3=O)O)CC(=O)O2)O</x:v>
      </x:c>
      <x:c r="F19" s="98" t="str">
        <x:v>O=C1O[C@@H]2[C@@]3(C1)C(=O)O[C@H]1[C@]3([C@](C2)(O)C(C)(C)C)[C@@H](O)C(=O)O1</x:v>
      </x:c>
      <x:c r="G19" s="98" t="str">
        <x:v>Both SMILES resolved to PubChem CID 73581 by PUG REST fastidentity (2026-07-14)</x:v>
      </x:c>
      <x:c r="H19" s="96" t="str">
        <x:v>Q04760</x:v>
      </x:c>
      <x:c r="I19" s="98" t="str">
        <x:v>Lactoylglutathione lyase (EC 4.4.1.5) (Aldoketomutase) (Glyoxalase I) (Glx I) (Ketone-aldehyde mutase) (Methylglyoxalase) (S-D-lactoylglutathione methylglyoxal lyase)</x:v>
      </x:c>
      <x:c r="J19" s="98" t="str">
        <x:v>Glyoxalase I family</x:v>
      </x:c>
      <x:c r="K19" s="96" t="str">
        <x:v>GLO1</x:v>
      </x:c>
      <x:c r="L19" s="96" t="str">
        <x:v>2739;</x:v>
      </x:c>
      <x:c r="M19" s="96" t="str">
        <x:v>2739</x:v>
      </x:c>
      <x:c r="N19" s="96" t="str">
        <x:v>Homo sapiens (Human)</x:v>
      </x:c>
      <x:c r="O19" s="100" t="n">
        <x:v>9606</x:v>
      </x:c>
      <x:c r="P19" s="99" t="n">
        <x:v>1.38483</x:v>
      </x:c>
      <x:c r="Q19" s="96" t="str">
        <x:v>18</x:v>
      </x:c>
      <x:c r="R19" s="100" t="n">
        <x:v>18</x:v>
      </x:c>
      <x:c r="S19" s="96" t="str">
        <x:v>NetInfer_Prediction</x:v>
      </x:c>
      <x:c r="T19" s="97" t="b">
        <x:v>1</x:v>
      </x:c>
      <x:c r="U19" s="96" t="str">
        <x:v>Top20_priority</x:v>
      </x:c>
      <x:c r="V19" s="96" t="str">
        <x:v>prediction_only</x:v>
      </x:c>
      <x:c r="W19" s="98" t="str">
        <x:v>Include_as_NetInfer_prediction</x:v>
      </x:c>
      <x:c r="X19" s="98" t="str">
        <x:v>wSDTNBI ranking score; not probability, confidence, affinity, or IC50</x:v>
      </x:c>
      <x:c r="Y19" s="98" t="str"/>
      <x:c r="Z19" s="96" t="str">
        <x:v>wSDTNBI</x:v>
      </x:c>
      <x:c r="AA19" s="98" t="str">
        <x:v>Global DTI network (version 2020)</x:v>
      </x:c>
      <x:c r="AB19" s="98" t="str">
        <x:v>Morgan fingerprint, FCFP_4-like (radius=2, useFeatures=True)</x:v>
      </x:c>
      <x:c r="AC19" s="101" t="n">
        <x:v>0.4</x:v>
      </x:c>
      <x:c r="AD19" s="101" t="n">
        <x:v>0.2</x:v>
      </x:c>
      <x:c r="AE19" s="101" t="n">
        <x:v>-0.5</x:v>
      </x:c>
      <x:c r="AF19" s="101" t="n">
        <x:v>20</x:v>
      </x:c>
      <x:c r="AG19" s="101" t="n">
        <x:v>4</x:v>
      </x:c>
      <x:c r="AH19" s="101" t="n">
        <x:v>2</x:v>
      </x:c>
      <x:c r="AI19" s="96" t="n">
        <x:v>50</x:v>
      </x:c>
    </x:row>
    <x:row r="20" ht="24" hidden="0" customHeight="1">
      <x:c r="A20" s="96" t="n">
        <x:v>19</x:v>
      </x:c>
      <x:c r="B20" s="96" t="str">
        <x:v>1</x:v>
      </x:c>
      <x:c r="C20" s="96" t="str">
        <x:v>Bilobalide</x:v>
      </x:c>
      <x:c r="D20" s="96" t="n">
        <x:v>73581</x:v>
      </x:c>
      <x:c r="E20" s="98" t="str">
        <x:v>CC(C)(C)[C@@]1(C[C@H]2[C@@]3([C@]14[C@H](C(=O)O[C@H]4OC3=O)O)CC(=O)O2)O</x:v>
      </x:c>
      <x:c r="F20" s="98" t="str">
        <x:v>O=C1O[C@@H]2[C@@]3(C1)C(=O)O[C@H]1[C@]3([C@](C2)(O)C(C)(C)C)[C@@H](O)C(=O)O1</x:v>
      </x:c>
      <x:c r="G20" s="98" t="str">
        <x:v>Both SMILES resolved to PubChem CID 73581 by PUG REST fastidentity (2026-07-14)</x:v>
      </x:c>
      <x:c r="H20" s="96" t="str">
        <x:v>P06401</x:v>
      </x:c>
      <x:c r="I20" s="98" t="str">
        <x:v>Progesterone receptor (PR) (Nuclear receptor subfamily 3 group C member 3)</x:v>
      </x:c>
      <x:c r="J20" s="98" t="str">
        <x:v>Nuclear hormone receptor family, NR3 subfamily</x:v>
      </x:c>
      <x:c r="K20" s="96" t="str">
        <x:v>PGR</x:v>
      </x:c>
      <x:c r="L20" s="96" t="str">
        <x:v>5241;</x:v>
      </x:c>
      <x:c r="M20" s="96" t="str">
        <x:v>5241</x:v>
      </x:c>
      <x:c r="N20" s="96" t="str">
        <x:v>Homo sapiens (Human)</x:v>
      </x:c>
      <x:c r="O20" s="100" t="n">
        <x:v>9606</x:v>
      </x:c>
      <x:c r="P20" s="99" t="n">
        <x:v>1.29916</x:v>
      </x:c>
      <x:c r="Q20" s="96" t="str">
        <x:v>19</x:v>
      </x:c>
      <x:c r="R20" s="100" t="n">
        <x:v>19</x:v>
      </x:c>
      <x:c r="S20" s="96" t="str">
        <x:v>NetInfer_Prediction</x:v>
      </x:c>
      <x:c r="T20" s="97" t="b">
        <x:v>1</x:v>
      </x:c>
      <x:c r="U20" s="96" t="str">
        <x:v>Top20_priority</x:v>
      </x:c>
      <x:c r="V20" s="96" t="str">
        <x:v>prediction_only</x:v>
      </x:c>
      <x:c r="W20" s="98" t="str">
        <x:v>Include_as_NetInfer_prediction</x:v>
      </x:c>
      <x:c r="X20" s="98" t="str">
        <x:v>wSDTNBI ranking score; not probability, confidence, affinity, or IC50</x:v>
      </x:c>
      <x:c r="Y20" s="98" t="str"/>
      <x:c r="Z20" s="96" t="str">
        <x:v>wSDTNBI</x:v>
      </x:c>
      <x:c r="AA20" s="98" t="str">
        <x:v>Global DTI network (version 2020)</x:v>
      </x:c>
      <x:c r="AB20" s="98" t="str">
        <x:v>Morgan fingerprint, FCFP_4-like (radius=2, useFeatures=True)</x:v>
      </x:c>
      <x:c r="AC20" s="101" t="n">
        <x:v>0.4</x:v>
      </x:c>
      <x:c r="AD20" s="101" t="n">
        <x:v>0.2</x:v>
      </x:c>
      <x:c r="AE20" s="101" t="n">
        <x:v>-0.5</x:v>
      </x:c>
      <x:c r="AF20" s="101" t="n">
        <x:v>20</x:v>
      </x:c>
      <x:c r="AG20" s="101" t="n">
        <x:v>4</x:v>
      </x:c>
      <x:c r="AH20" s="101" t="n">
        <x:v>2</x:v>
      </x:c>
      <x:c r="AI20" s="96" t="n">
        <x:v>50</x:v>
      </x:c>
    </x:row>
    <x:row r="21" ht="24" hidden="0" customHeight="1">
      <x:c r="A21" s="96" t="n">
        <x:v>20</x:v>
      </x:c>
      <x:c r="B21" s="96" t="str">
        <x:v>1</x:v>
      </x:c>
      <x:c r="C21" s="96" t="str">
        <x:v>Bilobalide</x:v>
      </x:c>
      <x:c r="D21" s="96" t="n">
        <x:v>73581</x:v>
      </x:c>
      <x:c r="E21" s="98" t="str">
        <x:v>CC(C)(C)[C@@]1(C[C@H]2[C@@]3([C@]14[C@H](C(=O)O[C@H]4OC3=O)O)CC(=O)O2)O</x:v>
      </x:c>
      <x:c r="F21" s="98" t="str">
        <x:v>O=C1O[C@@H]2[C@@]3(C1)C(=O)O[C@H]1[C@]3([C@](C2)(O)C(C)(C)C)[C@@H](O)C(=O)O1</x:v>
      </x:c>
      <x:c r="G21" s="98" t="str">
        <x:v>Both SMILES resolved to PubChem CID 73581 by PUG REST fastidentity (2026-07-14)</x:v>
      </x:c>
      <x:c r="H21" s="96" t="str">
        <x:v>O00481</x:v>
      </x:c>
      <x:c r="I21" s="98" t="str">
        <x:v>Butyrophilin subfamily 3 member A1 (CD antigen CD277)</x:v>
      </x:c>
      <x:c r="J21" s="98" t="str">
        <x:v>Immunoglobulin superfamily, BTN/MOG family</x:v>
      </x:c>
      <x:c r="K21" s="96" t="str">
        <x:v>BTN3A1</x:v>
      </x:c>
      <x:c r="L21" s="96" t="str">
        <x:v>11119;</x:v>
      </x:c>
      <x:c r="M21" s="96" t="str">
        <x:v>11119</x:v>
      </x:c>
      <x:c r="N21" s="96" t="str">
        <x:v>Homo sapiens (Human)</x:v>
      </x:c>
      <x:c r="O21" s="100" t="n">
        <x:v>9606</x:v>
      </x:c>
      <x:c r="P21" s="99" t="n">
        <x:v>1.26933</x:v>
      </x:c>
      <x:c r="Q21" s="96" t="str">
        <x:v>20</x:v>
      </x:c>
      <x:c r="R21" s="100" t="n">
        <x:v>20</x:v>
      </x:c>
      <x:c r="S21" s="96" t="str">
        <x:v>NetInfer_Prediction</x:v>
      </x:c>
      <x:c r="T21" s="97" t="b">
        <x:v>1</x:v>
      </x:c>
      <x:c r="U21" s="96" t="str">
        <x:v>Top20_priority</x:v>
      </x:c>
      <x:c r="V21" s="96" t="str">
        <x:v>prediction_only</x:v>
      </x:c>
      <x:c r="W21" s="98" t="str">
        <x:v>Include_as_NetInfer_prediction</x:v>
      </x:c>
      <x:c r="X21" s="98" t="str">
        <x:v>wSDTNBI ranking score; not probability, confidence, affinity, or IC50</x:v>
      </x:c>
      <x:c r="Y21" s="98" t="str"/>
      <x:c r="Z21" s="96" t="str">
        <x:v>wSDTNBI</x:v>
      </x:c>
      <x:c r="AA21" s="98" t="str">
        <x:v>Global DTI network (version 2020)</x:v>
      </x:c>
      <x:c r="AB21" s="98" t="str">
        <x:v>Morgan fingerprint, FCFP_4-like (radius=2, useFeatures=True)</x:v>
      </x:c>
      <x:c r="AC21" s="101" t="n">
        <x:v>0.4</x:v>
      </x:c>
      <x:c r="AD21" s="101" t="n">
        <x:v>0.2</x:v>
      </x:c>
      <x:c r="AE21" s="101" t="n">
        <x:v>-0.5</x:v>
      </x:c>
      <x:c r="AF21" s="101" t="n">
        <x:v>20</x:v>
      </x:c>
      <x:c r="AG21" s="101" t="n">
        <x:v>4</x:v>
      </x:c>
      <x:c r="AH21" s="101" t="n">
        <x:v>2</x:v>
      </x:c>
      <x:c r="AI21" s="96" t="n">
        <x:v>50</x:v>
      </x:c>
    </x:row>
    <x:row r="22" ht="96" hidden="0" customHeight="1">
      <x:c r="A22" s="96" t="n">
        <x:v>21</x:v>
      </x:c>
      <x:c r="B22" s="96" t="str">
        <x:v>1</x:v>
      </x:c>
      <x:c r="C22" s="96" t="str">
        <x:v>Bilobalide</x:v>
      </x:c>
      <x:c r="D22" s="96" t="n">
        <x:v>73581</x:v>
      </x:c>
      <x:c r="E22" s="98" t="str">
        <x:v>CC(C)(C)[C@@]1(C[C@H]2[C@@]3([C@]14[C@H](C(=O)O[C@H]4OC3=O)O)CC(=O)O2)O</x:v>
      </x:c>
      <x:c r="F22" s="98" t="str">
        <x:v>O=C1O[C@@H]2[C@@]3(C1)C(=O)O[C@H]1[C@]3([C@](C2)(O)C(C)(C)C)[C@@H](O)C(=O)O1</x:v>
      </x:c>
      <x:c r="G22" s="98" t="str">
        <x:v>Both SMILES resolved to PubChem CID 73581 by PUG REST fastidentity (2026-07-14)</x:v>
      </x:c>
      <x:c r="H22" s="96" t="str">
        <x:v>P42330</x:v>
      </x:c>
      <x:c r="I22" s="98" t="str">
        <x:v>Aldo-keto reductase family 1 member C3 (EC 1.-.-.-) (17-beta-hydroxysteroid dehydrogenase type 5) (17-beta-HSD 5) (3-alpha-HSD type II, brain) (3-alpha-hydroxysteroid dehydrogenase type 2) (3-alpha-HSD type 2) (EC 1.1.1.357) (Chlordecone reductase homolog HAKRb) (Dihydrodiol dehydrogenase 3) (DD-3) (DD3) (Dihydrodiol dehydrogenase type I) (HA1753) (Indanol dehydrogenase) (EC 1.1.1.112) (Prostaglandin F synthase) (PGFS) (EC 1.1.1.188) (Testosterone 17-beta-dehydrogenase 5) (EC 1.1.1.239) (EC 1.1.1.64) (Trans-1,2-dihydrobenzene-1,2-diol dehydrogenase) (EC 1.3.1.20)</x:v>
      </x:c>
      <x:c r="J22" s="98" t="str">
        <x:v>Aldo/keto reductase family</x:v>
      </x:c>
      <x:c r="K22" s="96" t="str">
        <x:v>AKR1C3</x:v>
      </x:c>
      <x:c r="L22" s="96" t="str">
        <x:v>8644;</x:v>
      </x:c>
      <x:c r="M22" s="96" t="str">
        <x:v>8644</x:v>
      </x:c>
      <x:c r="N22" s="96" t="str">
        <x:v>Homo sapiens (Human)</x:v>
      </x:c>
      <x:c r="O22" s="100" t="n">
        <x:v>9606</x:v>
      </x:c>
      <x:c r="P22" s="99" t="n">
        <x:v>1.2405</x:v>
      </x:c>
      <x:c r="Q22" s="96" t="str">
        <x:v>21</x:v>
      </x:c>
      <x:c r="R22" s="100" t="n">
        <x:v>21</x:v>
      </x:c>
      <x:c r="S22" s="96" t="str">
        <x:v>NetInfer_Prediction</x:v>
      </x:c>
      <x:c r="T22" s="97" t="b">
        <x:v>1</x:v>
      </x:c>
      <x:c r="U22" s="96" t="str">
        <x:v>Rank21_50_extended</x:v>
      </x:c>
      <x:c r="V22" s="96" t="str">
        <x:v>prediction_only</x:v>
      </x:c>
      <x:c r="W22" s="98" t="str">
        <x:v>Include_as_NetInfer_prediction</x:v>
      </x:c>
      <x:c r="X22" s="98" t="str">
        <x:v>wSDTNBI ranking score; not probability, confidence, affinity, or IC50</x:v>
      </x:c>
      <x:c r="Y22" s="98" t="str"/>
      <x:c r="Z22" s="96" t="str">
        <x:v>wSDTNBI</x:v>
      </x:c>
      <x:c r="AA22" s="98" t="str">
        <x:v>Global DTI network (version 2020)</x:v>
      </x:c>
      <x:c r="AB22" s="98" t="str">
        <x:v>Morgan fingerprint, FCFP_4-like (radius=2, useFeatures=True)</x:v>
      </x:c>
      <x:c r="AC22" s="101" t="n">
        <x:v>0.4</x:v>
      </x:c>
      <x:c r="AD22" s="101" t="n">
        <x:v>0.2</x:v>
      </x:c>
      <x:c r="AE22" s="101" t="n">
        <x:v>-0.5</x:v>
      </x:c>
      <x:c r="AF22" s="101" t="n">
        <x:v>20</x:v>
      </x:c>
      <x:c r="AG22" s="101" t="n">
        <x:v>4</x:v>
      </x:c>
      <x:c r="AH22" s="101" t="n">
        <x:v>2</x:v>
      </x:c>
      <x:c r="AI22" s="96" t="n">
        <x:v>50</x:v>
      </x:c>
    </x:row>
    <x:row r="23" ht="24" hidden="0" customHeight="1">
      <x:c r="A23" s="96" t="n">
        <x:v>22</x:v>
      </x:c>
      <x:c r="B23" s="96" t="str">
        <x:v>1</x:v>
      </x:c>
      <x:c r="C23" s="96" t="str">
        <x:v>Bilobalide</x:v>
      </x:c>
      <x:c r="D23" s="96" t="n">
        <x:v>73581</x:v>
      </x:c>
      <x:c r="E23" s="98" t="str">
        <x:v>CC(C)(C)[C@@]1(C[C@H]2[C@@]3([C@]14[C@H](C(=O)O[C@H]4OC3=O)O)CC(=O)O2)O</x:v>
      </x:c>
      <x:c r="F23" s="98" t="str">
        <x:v>O=C1O[C@@H]2[C@@]3(C1)C(=O)O[C@H]1[C@]3([C@](C2)(O)C(C)(C)C)[C@@H](O)C(=O)O1</x:v>
      </x:c>
      <x:c r="G23" s="98" t="str">
        <x:v>Both SMILES resolved to PubChem CID 73581 by PUG REST fastidentity (2026-07-14)</x:v>
      </x:c>
      <x:c r="H23" s="96" t="str">
        <x:v>Q15393</x:v>
      </x:c>
      <x:c r="I23" s="98" t="str">
        <x:v>Splicing factor 3B subunit 3 (Pre-mRNA-splicing factor SF3b 130 kDa subunit) (SF3b130) (STAF130) (Spliceosome-associated protein 130) (SAP 130)</x:v>
      </x:c>
      <x:c r="J23" s="98" t="str">
        <x:v>RSE1 family</x:v>
      </x:c>
      <x:c r="K23" s="96" t="str">
        <x:v>SF3B3</x:v>
      </x:c>
      <x:c r="L23" s="96" t="str">
        <x:v>23450;</x:v>
      </x:c>
      <x:c r="M23" s="96" t="str">
        <x:v>23450</x:v>
      </x:c>
      <x:c r="N23" s="96" t="str">
        <x:v>Homo sapiens (Human)</x:v>
      </x:c>
      <x:c r="O23" s="100" t="n">
        <x:v>9606</x:v>
      </x:c>
      <x:c r="P23" s="99" t="n">
        <x:v>1.23659</x:v>
      </x:c>
      <x:c r="Q23" s="96" t="str">
        <x:v>22</x:v>
      </x:c>
      <x:c r="R23" s="100" t="n">
        <x:v>22</x:v>
      </x:c>
      <x:c r="S23" s="96" t="str">
        <x:v>NetInfer_Prediction</x:v>
      </x:c>
      <x:c r="T23" s="97" t="b">
        <x:v>1</x:v>
      </x:c>
      <x:c r="U23" s="96" t="str">
        <x:v>Rank21_50_extended</x:v>
      </x:c>
      <x:c r="V23" s="96" t="str">
        <x:v>prediction_only</x:v>
      </x:c>
      <x:c r="W23" s="98" t="str">
        <x:v>Include_as_NetInfer_prediction</x:v>
      </x:c>
      <x:c r="X23" s="98" t="str">
        <x:v>wSDTNBI ranking score; not probability, confidence, affinity, or IC50</x:v>
      </x:c>
      <x:c r="Y23" s="98" t="str"/>
      <x:c r="Z23" s="96" t="str">
        <x:v>wSDTNBI</x:v>
      </x:c>
      <x:c r="AA23" s="98" t="str">
        <x:v>Global DTI network (version 2020)</x:v>
      </x:c>
      <x:c r="AB23" s="98" t="str">
        <x:v>Morgan fingerprint, FCFP_4-like (radius=2, useFeatures=True)</x:v>
      </x:c>
      <x:c r="AC23" s="101" t="n">
        <x:v>0.4</x:v>
      </x:c>
      <x:c r="AD23" s="101" t="n">
        <x:v>0.2</x:v>
      </x:c>
      <x:c r="AE23" s="101" t="n">
        <x:v>-0.5</x:v>
      </x:c>
      <x:c r="AF23" s="101" t="n">
        <x:v>20</x:v>
      </x:c>
      <x:c r="AG23" s="101" t="n">
        <x:v>4</x:v>
      </x:c>
      <x:c r="AH23" s="101" t="n">
        <x:v>2</x:v>
      </x:c>
      <x:c r="AI23" s="96" t="n">
        <x:v>50</x:v>
      </x:c>
    </x:row>
    <x:row r="24" ht="24" hidden="0" customHeight="1">
      <x:c r="A24" s="96" t="n">
        <x:v>23</x:v>
      </x:c>
      <x:c r="B24" s="96" t="str">
        <x:v>1</x:v>
      </x:c>
      <x:c r="C24" s="96" t="str">
        <x:v>Bilobalide</x:v>
      </x:c>
      <x:c r="D24" s="96" t="n">
        <x:v>73581</x:v>
      </x:c>
      <x:c r="E24" s="98" t="str">
        <x:v>CC(C)(C)[C@@]1(C[C@H]2[C@@]3([C@]14[C@H](C(=O)O[C@H]4OC3=O)O)CC(=O)O2)O</x:v>
      </x:c>
      <x:c r="F24" s="98" t="str">
        <x:v>O=C1O[C@@H]2[C@@]3(C1)C(=O)O[C@H]1[C@]3([C@](C2)(O)C(C)(C)C)[C@@H](O)C(=O)O1</x:v>
      </x:c>
      <x:c r="G24" s="98" t="str">
        <x:v>Both SMILES resolved to PubChem CID 73581 by PUG REST fastidentity (2026-07-14)</x:v>
      </x:c>
      <x:c r="H24" s="96" t="str">
        <x:v>P00918</x:v>
      </x:c>
      <x:c r="I24" s="98" t="str">
        <x:v>Carbonic anhydrase 2 (EC 4.2.1.1) (Carbonate dehydratase II) (Carbonic anhydrase C) (CAC) (Carbonic anhydrase II) (CA-II)</x:v>
      </x:c>
      <x:c r="J24" s="98" t="str">
        <x:v>Alpha-carbonic anhydrase family</x:v>
      </x:c>
      <x:c r="K24" s="96" t="str">
        <x:v>CA2</x:v>
      </x:c>
      <x:c r="L24" s="96" t="str">
        <x:v>760;</x:v>
      </x:c>
      <x:c r="M24" s="96" t="str">
        <x:v>760</x:v>
      </x:c>
      <x:c r="N24" s="96" t="str">
        <x:v>Homo sapiens (Human)</x:v>
      </x:c>
      <x:c r="O24" s="100" t="n">
        <x:v>9606</x:v>
      </x:c>
      <x:c r="P24" s="99" t="n">
        <x:v>1.23135</x:v>
      </x:c>
      <x:c r="Q24" s="96" t="str">
        <x:v>23</x:v>
      </x:c>
      <x:c r="R24" s="100" t="n">
        <x:v>23</x:v>
      </x:c>
      <x:c r="S24" s="96" t="str">
        <x:v>NetInfer_Prediction</x:v>
      </x:c>
      <x:c r="T24" s="97" t="b">
        <x:v>1</x:v>
      </x:c>
      <x:c r="U24" s="96" t="str">
        <x:v>Rank21_50_extended</x:v>
      </x:c>
      <x:c r="V24" s="96" t="str">
        <x:v>prediction_only</x:v>
      </x:c>
      <x:c r="W24" s="98" t="str">
        <x:v>Include_as_NetInfer_prediction</x:v>
      </x:c>
      <x:c r="X24" s="98" t="str">
        <x:v>wSDTNBI ranking score; not probability, confidence, affinity, or IC50</x:v>
      </x:c>
      <x:c r="Y24" s="98" t="str"/>
      <x:c r="Z24" s="96" t="str">
        <x:v>wSDTNBI</x:v>
      </x:c>
      <x:c r="AA24" s="98" t="str">
        <x:v>Global DTI network (version 2020)</x:v>
      </x:c>
      <x:c r="AB24" s="98" t="str">
        <x:v>Morgan fingerprint, FCFP_4-like (radius=2, useFeatures=True)</x:v>
      </x:c>
      <x:c r="AC24" s="101" t="n">
        <x:v>0.4</x:v>
      </x:c>
      <x:c r="AD24" s="101" t="n">
        <x:v>0.2</x:v>
      </x:c>
      <x:c r="AE24" s="101" t="n">
        <x:v>-0.5</x:v>
      </x:c>
      <x:c r="AF24" s="101" t="n">
        <x:v>20</x:v>
      </x:c>
      <x:c r="AG24" s="101" t="n">
        <x:v>4</x:v>
      </x:c>
      <x:c r="AH24" s="101" t="n">
        <x:v>2</x:v>
      </x:c>
      <x:c r="AI24" s="96" t="n">
        <x:v>50</x:v>
      </x:c>
    </x:row>
    <x:row r="25" ht="48" hidden="0" customHeight="1">
      <x:c r="A25" s="96" t="n">
        <x:v>24</x:v>
      </x:c>
      <x:c r="B25" s="96" t="str">
        <x:v>1</x:v>
      </x:c>
      <x:c r="C25" s="96" t="str">
        <x:v>Bilobalide</x:v>
      </x:c>
      <x:c r="D25" s="96" t="n">
        <x:v>73581</x:v>
      </x:c>
      <x:c r="E25" s="98" t="str">
        <x:v>CC(C)(C)[C@@]1(C[C@H]2[C@@]3([C@]14[C@H](C(=O)O[C@H]4OC3=O)O)CC(=O)O2)O</x:v>
      </x:c>
      <x:c r="F25" s="98" t="str">
        <x:v>O=C1O[C@@H]2[C@@]3(C1)C(=O)O[C@H]1[C@]3([C@](C2)(O)C(C)(C)C)[C@@H](O)C(=O)O1</x:v>
      </x:c>
      <x:c r="G25" s="98" t="str">
        <x:v>Both SMILES resolved to PubChem CID 73581 by PUG REST fastidentity (2026-07-14)</x:v>
      </x:c>
      <x:c r="H25" s="96" t="str">
        <x:v>Q12809</x:v>
      </x:c>
      <x:c r="I25" s="98" t="str">
        <x:v>Potassium voltage-gated channel subfamily H member 2 (Eag homolog) (Ether-a-go-go-related gene potassium channel 1) (ERG-1) (Eag-related protein 1) (Ether-a-go-go-related protein 1) (H-ERG) (hERG-1) (hERG1) (Voltage-gated potassium channel subunit Kv11.1)</x:v>
      </x:c>
      <x:c r="J25" s="98" t="str">
        <x:v>Potassium channel family, H (Eag) (TC 1.A.1.20) subfamily, Kv11.1/KCNH2 sub-subfamily</x:v>
      </x:c>
      <x:c r="K25" s="96" t="str">
        <x:v>KCNH2</x:v>
      </x:c>
      <x:c r="L25" s="96" t="str">
        <x:v>3757;</x:v>
      </x:c>
      <x:c r="M25" s="96" t="str">
        <x:v>3757</x:v>
      </x:c>
      <x:c r="N25" s="96" t="str">
        <x:v>Homo sapiens (Human)</x:v>
      </x:c>
      <x:c r="O25" s="100" t="n">
        <x:v>9606</x:v>
      </x:c>
      <x:c r="P25" s="99" t="n">
        <x:v>1.20138</x:v>
      </x:c>
      <x:c r="Q25" s="96" t="str">
        <x:v>24</x:v>
      </x:c>
      <x:c r="R25" s="100" t="n">
        <x:v>24</x:v>
      </x:c>
      <x:c r="S25" s="96" t="str">
        <x:v>NetInfer_Prediction</x:v>
      </x:c>
      <x:c r="T25" s="97" t="b">
        <x:v>1</x:v>
      </x:c>
      <x:c r="U25" s="96" t="str">
        <x:v>Rank21_50_extended</x:v>
      </x:c>
      <x:c r="V25" s="96" t="str">
        <x:v>prediction_only</x:v>
      </x:c>
      <x:c r="W25" s="98" t="str">
        <x:v>Include_as_NetInfer_prediction</x:v>
      </x:c>
      <x:c r="X25" s="98" t="str">
        <x:v>wSDTNBI ranking score; not probability, confidence, affinity, or IC50</x:v>
      </x:c>
      <x:c r="Y25" s="98" t="str"/>
      <x:c r="Z25" s="96" t="str">
        <x:v>wSDTNBI</x:v>
      </x:c>
      <x:c r="AA25" s="98" t="str">
        <x:v>Global DTI network (version 2020)</x:v>
      </x:c>
      <x:c r="AB25" s="98" t="str">
        <x:v>Morgan fingerprint, FCFP_4-like (radius=2, useFeatures=True)</x:v>
      </x:c>
      <x:c r="AC25" s="101" t="n">
        <x:v>0.4</x:v>
      </x:c>
      <x:c r="AD25" s="101" t="n">
        <x:v>0.2</x:v>
      </x:c>
      <x:c r="AE25" s="101" t="n">
        <x:v>-0.5</x:v>
      </x:c>
      <x:c r="AF25" s="101" t="n">
        <x:v>20</x:v>
      </x:c>
      <x:c r="AG25" s="101" t="n">
        <x:v>4</x:v>
      </x:c>
      <x:c r="AH25" s="101" t="n">
        <x:v>2</x:v>
      </x:c>
      <x:c r="AI25" s="96" t="n">
        <x:v>50</x:v>
      </x:c>
    </x:row>
    <x:row r="26" ht="24" hidden="0" customHeight="1">
      <x:c r="A26" s="96" t="n">
        <x:v>25</x:v>
      </x:c>
      <x:c r="B26" s="96" t="str">
        <x:v>1</x:v>
      </x:c>
      <x:c r="C26" s="96" t="str">
        <x:v>Bilobalide</x:v>
      </x:c>
      <x:c r="D26" s="96" t="n">
        <x:v>73581</x:v>
      </x:c>
      <x:c r="E26" s="98" t="str">
        <x:v>CC(C)(C)[C@@]1(C[C@H]2[C@@]3([C@]14[C@H](C(=O)O[C@H]4OC3=O)O)CC(=O)O2)O</x:v>
      </x:c>
      <x:c r="F26" s="98" t="str">
        <x:v>O=C1O[C@@H]2[C@@]3(C1)C(=O)O[C@H]1[C@]3([C@](C2)(O)C(C)(C)C)[C@@H](O)C(=O)O1</x:v>
      </x:c>
      <x:c r="G26" s="98" t="str">
        <x:v>Both SMILES resolved to PubChem CID 73581 by PUG REST fastidentity (2026-07-14)</x:v>
      </x:c>
      <x:c r="H26" s="96" t="str">
        <x:v>P14416</x:v>
      </x:c>
      <x:c r="I26" s="98" t="str">
        <x:v>D(2) dopamine receptor (Dopamine D2 receptor)</x:v>
      </x:c>
      <x:c r="J26" s="98" t="str">
        <x:v>G-protein coupled receptor 1 family</x:v>
      </x:c>
      <x:c r="K26" s="96" t="str">
        <x:v>DRD2</x:v>
      </x:c>
      <x:c r="L26" s="96" t="str">
        <x:v>1813;</x:v>
      </x:c>
      <x:c r="M26" s="96" t="str">
        <x:v>1813</x:v>
      </x:c>
      <x:c r="N26" s="96" t="str">
        <x:v>Homo sapiens (Human)</x:v>
      </x:c>
      <x:c r="O26" s="100" t="n">
        <x:v>9606</x:v>
      </x:c>
      <x:c r="P26" s="99" t="n">
        <x:v>1.18635</x:v>
      </x:c>
      <x:c r="Q26" s="96" t="str">
        <x:v>25</x:v>
      </x:c>
      <x:c r="R26" s="100" t="n">
        <x:v>25</x:v>
      </x:c>
      <x:c r="S26" s="96" t="str">
        <x:v>NetInfer_Prediction</x:v>
      </x:c>
      <x:c r="T26" s="97" t="b">
        <x:v>1</x:v>
      </x:c>
      <x:c r="U26" s="96" t="str">
        <x:v>Rank21_50_extended</x:v>
      </x:c>
      <x:c r="V26" s="96" t="str">
        <x:v>prediction_only</x:v>
      </x:c>
      <x:c r="W26" s="98" t="str">
        <x:v>Include_as_NetInfer_prediction</x:v>
      </x:c>
      <x:c r="X26" s="98" t="str">
        <x:v>wSDTNBI ranking score; not probability, confidence, affinity, or IC50</x:v>
      </x:c>
      <x:c r="Y26" s="98" t="str"/>
      <x:c r="Z26" s="96" t="str">
        <x:v>wSDTNBI</x:v>
      </x:c>
      <x:c r="AA26" s="98" t="str">
        <x:v>Global DTI network (version 2020)</x:v>
      </x:c>
      <x:c r="AB26" s="98" t="str">
        <x:v>Morgan fingerprint, FCFP_4-like (radius=2, useFeatures=True)</x:v>
      </x:c>
      <x:c r="AC26" s="101" t="n">
        <x:v>0.4</x:v>
      </x:c>
      <x:c r="AD26" s="101" t="n">
        <x:v>0.2</x:v>
      </x:c>
      <x:c r="AE26" s="101" t="n">
        <x:v>-0.5</x:v>
      </x:c>
      <x:c r="AF26" s="101" t="n">
        <x:v>20</x:v>
      </x:c>
      <x:c r="AG26" s="101" t="n">
        <x:v>4</x:v>
      </x:c>
      <x:c r="AH26" s="101" t="n">
        <x:v>2</x:v>
      </x:c>
      <x:c r="AI26" s="96" t="n">
        <x:v>50</x:v>
      </x:c>
    </x:row>
    <x:row r="27" ht="24" hidden="0" customHeight="1">
      <x:c r="A27" s="96" t="n">
        <x:v>26</x:v>
      </x:c>
      <x:c r="B27" s="96" t="str">
        <x:v>1</x:v>
      </x:c>
      <x:c r="C27" s="96" t="str">
        <x:v>Bilobalide</x:v>
      </x:c>
      <x:c r="D27" s="96" t="n">
        <x:v>73581</x:v>
      </x:c>
      <x:c r="E27" s="98" t="str">
        <x:v>CC(C)(C)[C@@]1(C[C@H]2[C@@]3([C@]14[C@H](C(=O)O[C@H]4OC3=O)O)CC(=O)O2)O</x:v>
      </x:c>
      <x:c r="F27" s="98" t="str">
        <x:v>O=C1O[C@@H]2[C@@]3(C1)C(=O)O[C@H]1[C@]3([C@](C2)(O)C(C)(C)C)[C@@H](O)C(=O)O1</x:v>
      </x:c>
      <x:c r="G27" s="98" t="str">
        <x:v>Both SMILES resolved to PubChem CID 73581 by PUG REST fastidentity (2026-07-14)</x:v>
      </x:c>
      <x:c r="H27" s="96" t="str">
        <x:v>P17252</x:v>
      </x:c>
      <x:c r="I27" s="98" t="str">
        <x:v>Protein kinase C alpha type (PKC-A) (PKC-alpha) (EC 2.7.11.13)</x:v>
      </x:c>
      <x:c r="J27" s="98" t="str">
        <x:v>Protein kinase superfamily, AGC Ser/Thr protein kinase family, PKC subfamily</x:v>
      </x:c>
      <x:c r="K27" s="96" t="str">
        <x:v>PRKCA</x:v>
      </x:c>
      <x:c r="L27" s="96" t="str">
        <x:v>5578;</x:v>
      </x:c>
      <x:c r="M27" s="96" t="str">
        <x:v>5578</x:v>
      </x:c>
      <x:c r="N27" s="96" t="str">
        <x:v>Homo sapiens (Human)</x:v>
      </x:c>
      <x:c r="O27" s="100" t="n">
        <x:v>9606</x:v>
      </x:c>
      <x:c r="P27" s="99" t="n">
        <x:v>1.17691</x:v>
      </x:c>
      <x:c r="Q27" s="96" t="str">
        <x:v>26</x:v>
      </x:c>
      <x:c r="R27" s="100" t="n">
        <x:v>26</x:v>
      </x:c>
      <x:c r="S27" s="96" t="str">
        <x:v>NetInfer_Prediction</x:v>
      </x:c>
      <x:c r="T27" s="97" t="b">
        <x:v>1</x:v>
      </x:c>
      <x:c r="U27" s="96" t="str">
        <x:v>Rank21_50_extended</x:v>
      </x:c>
      <x:c r="V27" s="96" t="str">
        <x:v>prediction_only</x:v>
      </x:c>
      <x:c r="W27" s="98" t="str">
        <x:v>Include_as_NetInfer_prediction</x:v>
      </x:c>
      <x:c r="X27" s="98" t="str">
        <x:v>wSDTNBI ranking score; not probability, confidence, affinity, or IC50</x:v>
      </x:c>
      <x:c r="Y27" s="98" t="str"/>
      <x:c r="Z27" s="96" t="str">
        <x:v>wSDTNBI</x:v>
      </x:c>
      <x:c r="AA27" s="98" t="str">
        <x:v>Global DTI network (version 2020)</x:v>
      </x:c>
      <x:c r="AB27" s="98" t="str">
        <x:v>Morgan fingerprint, FCFP_4-like (radius=2, useFeatures=True)</x:v>
      </x:c>
      <x:c r="AC27" s="101" t="n">
        <x:v>0.4</x:v>
      </x:c>
      <x:c r="AD27" s="101" t="n">
        <x:v>0.2</x:v>
      </x:c>
      <x:c r="AE27" s="101" t="n">
        <x:v>-0.5</x:v>
      </x:c>
      <x:c r="AF27" s="101" t="n">
        <x:v>20</x:v>
      </x:c>
      <x:c r="AG27" s="101" t="n">
        <x:v>4</x:v>
      </x:c>
      <x:c r="AH27" s="101" t="n">
        <x:v>2</x:v>
      </x:c>
      <x:c r="AI27" s="96" t="n">
        <x:v>50</x:v>
      </x:c>
    </x:row>
    <x:row r="28" ht="36" hidden="0" customHeight="1">
      <x:c r="A28" s="96" t="n">
        <x:v>27</x:v>
      </x:c>
      <x:c r="B28" s="96" t="str">
        <x:v>1</x:v>
      </x:c>
      <x:c r="C28" s="96" t="str">
        <x:v>Bilobalide</x:v>
      </x:c>
      <x:c r="D28" s="96" t="n">
        <x:v>73581</x:v>
      </x:c>
      <x:c r="E28" s="98" t="str">
        <x:v>CC(C)(C)[C@@]1(C[C@H]2[C@@]3([C@]14[C@H](C(=O)O[C@H]4OC3=O)O)CC(=O)O2)O</x:v>
      </x:c>
      <x:c r="F28" s="98" t="str">
        <x:v>O=C1O[C@@H]2[C@@]3(C1)C(=O)O[C@H]1[C@]3([C@](C2)(O)C(C)(C)C)[C@@H](O)C(=O)O1</x:v>
      </x:c>
      <x:c r="G28" s="98" t="str">
        <x:v>Both SMILES resolved to PubChem CID 73581 by PUG REST fastidentity (2026-07-14)</x:v>
      </x:c>
      <x:c r="H28" s="96" t="str">
        <x:v>Q13887</x:v>
      </x:c>
      <x:c r="I28" s="98" t="str">
        <x:v>Krueppel-like factor 5 (Basic transcription element-binding protein 2) (BTE-binding protein 2) (Colon krueppel-like factor) (GC-box-binding protein 2) (Intestinal-enriched krueppel-like factor) (Transcription factor BTEB2)</x:v>
      </x:c>
      <x:c r="J28" s="98" t="str">
        <x:v>Krueppel C2H2-type zinc-finger protein family</x:v>
      </x:c>
      <x:c r="K28" s="96" t="str">
        <x:v>KLF5</x:v>
      </x:c>
      <x:c r="L28" s="96" t="str">
        <x:v>688;</x:v>
      </x:c>
      <x:c r="M28" s="96" t="str">
        <x:v>688</x:v>
      </x:c>
      <x:c r="N28" s="96" t="str">
        <x:v>Homo sapiens (Human)</x:v>
      </x:c>
      <x:c r="O28" s="100" t="n">
        <x:v>9606</x:v>
      </x:c>
      <x:c r="P28" s="99" t="n">
        <x:v>1.1595</x:v>
      </x:c>
      <x:c r="Q28" s="96" t="str">
        <x:v>27</x:v>
      </x:c>
      <x:c r="R28" s="100" t="n">
        <x:v>27</x:v>
      </x:c>
      <x:c r="S28" s="96" t="str">
        <x:v>NetInfer_Prediction</x:v>
      </x:c>
      <x:c r="T28" s="97" t="b">
        <x:v>1</x:v>
      </x:c>
      <x:c r="U28" s="96" t="str">
        <x:v>Rank21_50_extended</x:v>
      </x:c>
      <x:c r="V28" s="96" t="str">
        <x:v>prediction_only</x:v>
      </x:c>
      <x:c r="W28" s="98" t="str">
        <x:v>Include_as_NetInfer_prediction</x:v>
      </x:c>
      <x:c r="X28" s="98" t="str">
        <x:v>wSDTNBI ranking score; not probability, confidence, affinity, or IC50</x:v>
      </x:c>
      <x:c r="Y28" s="98" t="str"/>
      <x:c r="Z28" s="96" t="str">
        <x:v>wSDTNBI</x:v>
      </x:c>
      <x:c r="AA28" s="98" t="str">
        <x:v>Global DTI network (version 2020)</x:v>
      </x:c>
      <x:c r="AB28" s="98" t="str">
        <x:v>Morgan fingerprint, FCFP_4-like (radius=2, useFeatures=True)</x:v>
      </x:c>
      <x:c r="AC28" s="101" t="n">
        <x:v>0.4</x:v>
      </x:c>
      <x:c r="AD28" s="101" t="n">
        <x:v>0.2</x:v>
      </x:c>
      <x:c r="AE28" s="101" t="n">
        <x:v>-0.5</x:v>
      </x:c>
      <x:c r="AF28" s="101" t="n">
        <x:v>20</x:v>
      </x:c>
      <x:c r="AG28" s="101" t="n">
        <x:v>4</x:v>
      </x:c>
      <x:c r="AH28" s="101" t="n">
        <x:v>2</x:v>
      </x:c>
      <x:c r="AI28" s="96" t="n">
        <x:v>50</x:v>
      </x:c>
    </x:row>
    <x:row r="29" ht="24" hidden="0" customHeight="1">
      <x:c r="A29" s="96" t="n">
        <x:v>28</x:v>
      </x:c>
      <x:c r="B29" s="96" t="str">
        <x:v>1</x:v>
      </x:c>
      <x:c r="C29" s="96" t="str">
        <x:v>Bilobalide</x:v>
      </x:c>
      <x:c r="D29" s="96" t="n">
        <x:v>73581</x:v>
      </x:c>
      <x:c r="E29" s="98" t="str">
        <x:v>CC(C)(C)[C@@]1(C[C@H]2[C@@]3([C@]14[C@H](C(=O)O[C@H]4OC3=O)O)CC(=O)O2)O</x:v>
      </x:c>
      <x:c r="F29" s="98" t="str">
        <x:v>O=C1O[C@@H]2[C@@]3(C1)C(=O)O[C@H]1[C@]3([C@](C2)(O)C(C)(C)C)[C@@H](O)C(=O)O1</x:v>
      </x:c>
      <x:c r="G29" s="98" t="str">
        <x:v>Both SMILES resolved to PubChem CID 73581 by PUG REST fastidentity (2026-07-14)</x:v>
      </x:c>
      <x:c r="H29" s="96" t="str">
        <x:v>P06276</x:v>
      </x:c>
      <x:c r="I29" s="98" t="str">
        <x:v>Cholinesterase (EC 3.1.1.8) (Acylcholine acylhydrolase) (Butyrylcholine esterase) (Choline esterase II) (Pseudocholinesterase)</x:v>
      </x:c>
      <x:c r="J29" s="98" t="str">
        <x:v>Type-B carboxylesterase/lipase family</x:v>
      </x:c>
      <x:c r="K29" s="96" t="str">
        <x:v>BCHE</x:v>
      </x:c>
      <x:c r="L29" s="96" t="str">
        <x:v>590;</x:v>
      </x:c>
      <x:c r="M29" s="96" t="str">
        <x:v>590</x:v>
      </x:c>
      <x:c r="N29" s="96" t="str">
        <x:v>Homo sapiens (Human)</x:v>
      </x:c>
      <x:c r="O29" s="100" t="n">
        <x:v>9606</x:v>
      </x:c>
      <x:c r="P29" s="99" t="n">
        <x:v>1.15026</x:v>
      </x:c>
      <x:c r="Q29" s="96" t="str">
        <x:v>28</x:v>
      </x:c>
      <x:c r="R29" s="100" t="n">
        <x:v>28</x:v>
      </x:c>
      <x:c r="S29" s="96" t="str">
        <x:v>NetInfer_Prediction</x:v>
      </x:c>
      <x:c r="T29" s="97" t="b">
        <x:v>1</x:v>
      </x:c>
      <x:c r="U29" s="96" t="str">
        <x:v>Rank21_50_extended</x:v>
      </x:c>
      <x:c r="V29" s="96" t="str">
        <x:v>prediction_only</x:v>
      </x:c>
      <x:c r="W29" s="98" t="str">
        <x:v>Include_as_NetInfer_prediction</x:v>
      </x:c>
      <x:c r="X29" s="98" t="str">
        <x:v>wSDTNBI ranking score; not probability, confidence, affinity, or IC50</x:v>
      </x:c>
      <x:c r="Y29" s="98" t="str"/>
      <x:c r="Z29" s="96" t="str">
        <x:v>wSDTNBI</x:v>
      </x:c>
      <x:c r="AA29" s="98" t="str">
        <x:v>Global DTI network (version 2020)</x:v>
      </x:c>
      <x:c r="AB29" s="98" t="str">
        <x:v>Morgan fingerprint, FCFP_4-like (radius=2, useFeatures=True)</x:v>
      </x:c>
      <x:c r="AC29" s="101" t="n">
        <x:v>0.4</x:v>
      </x:c>
      <x:c r="AD29" s="101" t="n">
        <x:v>0.2</x:v>
      </x:c>
      <x:c r="AE29" s="101" t="n">
        <x:v>-0.5</x:v>
      </x:c>
      <x:c r="AF29" s="101" t="n">
        <x:v>20</x:v>
      </x:c>
      <x:c r="AG29" s="101" t="n">
        <x:v>4</x:v>
      </x:c>
      <x:c r="AH29" s="101" t="n">
        <x:v>2</x:v>
      </x:c>
      <x:c r="AI29" s="96" t="n">
        <x:v>50</x:v>
      </x:c>
    </x:row>
    <x:row r="30" ht="24" hidden="0" customHeight="1">
      <x:c r="A30" s="96" t="n">
        <x:v>29</x:v>
      </x:c>
      <x:c r="B30" s="96" t="str">
        <x:v>1</x:v>
      </x:c>
      <x:c r="C30" s="96" t="str">
        <x:v>Bilobalide</x:v>
      </x:c>
      <x:c r="D30" s="96" t="n">
        <x:v>73581</x:v>
      </x:c>
      <x:c r="E30" s="98" t="str">
        <x:v>CC(C)(C)[C@@]1(C[C@H]2[C@@]3([C@]14[C@H](C(=O)O[C@H]4OC3=O)O)CC(=O)O2)O</x:v>
      </x:c>
      <x:c r="F30" s="98" t="str">
        <x:v>O=C1O[C@@H]2[C@@]3(C1)C(=O)O[C@H]1[C@]3([C@](C2)(O)C(C)(C)C)[C@@H](O)C(=O)O1</x:v>
      </x:c>
      <x:c r="G30" s="98" t="str">
        <x:v>Both SMILES resolved to PubChem CID 73581 by PUG REST fastidentity (2026-07-14)</x:v>
      </x:c>
      <x:c r="H30" s="96" t="str">
        <x:v>P16233</x:v>
      </x:c>
      <x:c r="I30" s="98" t="str">
        <x:v>Pancreatic triacylglycerol lipase (PL) (PTL) (Pancreatic lipase) (EC 3.1.1.3)</x:v>
      </x:c>
      <x:c r="J30" s="98" t="str">
        <x:v>AB hydrolase superfamily, Lipase family</x:v>
      </x:c>
      <x:c r="K30" s="96" t="str">
        <x:v>PNLIP</x:v>
      </x:c>
      <x:c r="L30" s="96" t="str">
        <x:v>5406;</x:v>
      </x:c>
      <x:c r="M30" s="96" t="str">
        <x:v>5406</x:v>
      </x:c>
      <x:c r="N30" s="96" t="str">
        <x:v>Homo sapiens (Human)</x:v>
      </x:c>
      <x:c r="O30" s="100" t="n">
        <x:v>9606</x:v>
      </x:c>
      <x:c r="P30" s="99" t="n">
        <x:v>1.111</x:v>
      </x:c>
      <x:c r="Q30" s="96" t="str">
        <x:v>29</x:v>
      </x:c>
      <x:c r="R30" s="100" t="n">
        <x:v>29</x:v>
      </x:c>
      <x:c r="S30" s="96" t="str">
        <x:v>NetInfer_Prediction</x:v>
      </x:c>
      <x:c r="T30" s="97" t="b">
        <x:v>1</x:v>
      </x:c>
      <x:c r="U30" s="96" t="str">
        <x:v>Rank21_50_extended</x:v>
      </x:c>
      <x:c r="V30" s="96" t="str">
        <x:v>prediction_only</x:v>
      </x:c>
      <x:c r="W30" s="98" t="str">
        <x:v>Include_as_NetInfer_prediction</x:v>
      </x:c>
      <x:c r="X30" s="98" t="str">
        <x:v>wSDTNBI ranking score; not probability, confidence, affinity, or IC50</x:v>
      </x:c>
      <x:c r="Y30" s="98" t="str"/>
      <x:c r="Z30" s="96" t="str">
        <x:v>wSDTNBI</x:v>
      </x:c>
      <x:c r="AA30" s="98" t="str">
        <x:v>Global DTI network (version 2020)</x:v>
      </x:c>
      <x:c r="AB30" s="98" t="str">
        <x:v>Morgan fingerprint, FCFP_4-like (radius=2, useFeatures=True)</x:v>
      </x:c>
      <x:c r="AC30" s="101" t="n">
        <x:v>0.4</x:v>
      </x:c>
      <x:c r="AD30" s="101" t="n">
        <x:v>0.2</x:v>
      </x:c>
      <x:c r="AE30" s="101" t="n">
        <x:v>-0.5</x:v>
      </x:c>
      <x:c r="AF30" s="101" t="n">
        <x:v>20</x:v>
      </x:c>
      <x:c r="AG30" s="101" t="n">
        <x:v>4</x:v>
      </x:c>
      <x:c r="AH30" s="101" t="n">
        <x:v>2</x:v>
      </x:c>
      <x:c r="AI30" s="96" t="n">
        <x:v>50</x:v>
      </x:c>
    </x:row>
    <x:row r="31" ht="24" hidden="0" customHeight="1">
      <x:c r="A31" s="96" t="n">
        <x:v>30</x:v>
      </x:c>
      <x:c r="B31" s="96" t="str">
        <x:v>1</x:v>
      </x:c>
      <x:c r="C31" s="96" t="str">
        <x:v>Bilobalide</x:v>
      </x:c>
      <x:c r="D31" s="96" t="n">
        <x:v>73581</x:v>
      </x:c>
      <x:c r="E31" s="98" t="str">
        <x:v>CC(C)(C)[C@@]1(C[C@H]2[C@@]3([C@]14[C@H](C(=O)O[C@H]4OC3=O)O)CC(=O)O2)O</x:v>
      </x:c>
      <x:c r="F31" s="98" t="str">
        <x:v>O=C1O[C@@H]2[C@@]3(C1)C(=O)O[C@H]1[C@]3([C@](C2)(O)C(C)(C)C)[C@@H](O)C(=O)O1</x:v>
      </x:c>
      <x:c r="G31" s="98" t="str">
        <x:v>Both SMILES resolved to PubChem CID 73581 by PUG REST fastidentity (2026-07-14)</x:v>
      </x:c>
      <x:c r="H31" s="96" t="str">
        <x:v>P41143</x:v>
      </x:c>
      <x:c r="I31" s="98" t="str">
        <x:v>Delta-type opioid receptor (D-OR-1) (DOR-1)</x:v>
      </x:c>
      <x:c r="J31" s="98" t="str">
        <x:v>G-protein coupled receptor 1 family</x:v>
      </x:c>
      <x:c r="K31" s="96" t="str">
        <x:v>OPRD1</x:v>
      </x:c>
      <x:c r="L31" s="96" t="str">
        <x:v>4985;</x:v>
      </x:c>
      <x:c r="M31" s="96" t="str">
        <x:v>4985</x:v>
      </x:c>
      <x:c r="N31" s="96" t="str">
        <x:v>Homo sapiens (Human)</x:v>
      </x:c>
      <x:c r="O31" s="100" t="n">
        <x:v>9606</x:v>
      </x:c>
      <x:c r="P31" s="99" t="n">
        <x:v>0.996497</x:v>
      </x:c>
      <x:c r="Q31" s="96" t="str">
        <x:v>30</x:v>
      </x:c>
      <x:c r="R31" s="100" t="n">
        <x:v>30</x:v>
      </x:c>
      <x:c r="S31" s="96" t="str">
        <x:v>NetInfer_Prediction</x:v>
      </x:c>
      <x:c r="T31" s="97" t="b">
        <x:v>1</x:v>
      </x:c>
      <x:c r="U31" s="96" t="str">
        <x:v>Rank21_50_extended</x:v>
      </x:c>
      <x:c r="V31" s="96" t="str">
        <x:v>prediction_only</x:v>
      </x:c>
      <x:c r="W31" s="98" t="str">
        <x:v>Include_as_NetInfer_prediction</x:v>
      </x:c>
      <x:c r="X31" s="98" t="str">
        <x:v>wSDTNBI ranking score; not probability, confidence, affinity, or IC50</x:v>
      </x:c>
      <x:c r="Y31" s="98" t="str"/>
      <x:c r="Z31" s="96" t="str">
        <x:v>wSDTNBI</x:v>
      </x:c>
      <x:c r="AA31" s="98" t="str">
        <x:v>Global DTI network (version 2020)</x:v>
      </x:c>
      <x:c r="AB31" s="98" t="str">
        <x:v>Morgan fingerprint, FCFP_4-like (radius=2, useFeatures=True)</x:v>
      </x:c>
      <x:c r="AC31" s="101" t="n">
        <x:v>0.4</x:v>
      </x:c>
      <x:c r="AD31" s="101" t="n">
        <x:v>0.2</x:v>
      </x:c>
      <x:c r="AE31" s="101" t="n">
        <x:v>-0.5</x:v>
      </x:c>
      <x:c r="AF31" s="101" t="n">
        <x:v>20</x:v>
      </x:c>
      <x:c r="AG31" s="101" t="n">
        <x:v>4</x:v>
      </x:c>
      <x:c r="AH31" s="101" t="n">
        <x:v>2</x:v>
      </x:c>
      <x:c r="AI31" s="96" t="n">
        <x:v>50</x:v>
      </x:c>
    </x:row>
    <x:row r="32" ht="24" hidden="0" customHeight="1">
      <x:c r="A32" s="96" t="n">
        <x:v>31</x:v>
      </x:c>
      <x:c r="B32" s="96" t="str">
        <x:v>1</x:v>
      </x:c>
      <x:c r="C32" s="96" t="str">
        <x:v>Bilobalide</x:v>
      </x:c>
      <x:c r="D32" s="96" t="n">
        <x:v>73581</x:v>
      </x:c>
      <x:c r="E32" s="98" t="str">
        <x:v>CC(C)(C)[C@@]1(C[C@H]2[C@@]3([C@]14[C@H](C(=O)O[C@H]4OC3=O)O)CC(=O)O2)O</x:v>
      </x:c>
      <x:c r="F32" s="98" t="str">
        <x:v>O=C1O[C@@H]2[C@@]3(C1)C(=O)O[C@H]1[C@]3([C@](C2)(O)C(C)(C)C)[C@@H](O)C(=O)O1</x:v>
      </x:c>
      <x:c r="G32" s="98" t="str">
        <x:v>Both SMILES resolved to PubChem CID 73581 by PUG REST fastidentity (2026-07-14)</x:v>
      </x:c>
      <x:c r="H32" s="96" t="str">
        <x:v>Q16236</x:v>
      </x:c>
      <x:c r="I32" s="98" t="str">
        <x:v>Nuclear factor erythroid 2-related factor 2 (NF-E2-related factor 2) (NFE2-related factor 2) (HEBP1) (Nuclear factor, erythroid derived 2, like 2)</x:v>
      </x:c>
      <x:c r="J32" s="98" t="str">
        <x:v>BZIP family, CNC subfamily</x:v>
      </x:c>
      <x:c r="K32" s="96" t="str">
        <x:v>NFE2L2</x:v>
      </x:c>
      <x:c r="L32" s="96" t="str">
        <x:v>4780;</x:v>
      </x:c>
      <x:c r="M32" s="96" t="str">
        <x:v>4780</x:v>
      </x:c>
      <x:c r="N32" s="96" t="str">
        <x:v>Homo sapiens (Human)</x:v>
      </x:c>
      <x:c r="O32" s="100" t="n">
        <x:v>9606</x:v>
      </x:c>
      <x:c r="P32" s="99" t="n">
        <x:v>0.994384</x:v>
      </x:c>
      <x:c r="Q32" s="96" t="str">
        <x:v>31</x:v>
      </x:c>
      <x:c r="R32" s="100" t="n">
        <x:v>31</x:v>
      </x:c>
      <x:c r="S32" s="96" t="str">
        <x:v>NetInfer_Prediction</x:v>
      </x:c>
      <x:c r="T32" s="97" t="b">
        <x:v>1</x:v>
      </x:c>
      <x:c r="U32" s="96" t="str">
        <x:v>Rank21_50_extended</x:v>
      </x:c>
      <x:c r="V32" s="96" t="str">
        <x:v>prediction_only</x:v>
      </x:c>
      <x:c r="W32" s="98" t="str">
        <x:v>Include_as_NetInfer_prediction</x:v>
      </x:c>
      <x:c r="X32" s="98" t="str">
        <x:v>wSDTNBI ranking score; not probability, confidence, affinity, or IC50</x:v>
      </x:c>
      <x:c r="Y32" s="98" t="str"/>
      <x:c r="Z32" s="96" t="str">
        <x:v>wSDTNBI</x:v>
      </x:c>
      <x:c r="AA32" s="98" t="str">
        <x:v>Global DTI network (version 2020)</x:v>
      </x:c>
      <x:c r="AB32" s="98" t="str">
        <x:v>Morgan fingerprint, FCFP_4-like (radius=2, useFeatures=True)</x:v>
      </x:c>
      <x:c r="AC32" s="101" t="n">
        <x:v>0.4</x:v>
      </x:c>
      <x:c r="AD32" s="101" t="n">
        <x:v>0.2</x:v>
      </x:c>
      <x:c r="AE32" s="101" t="n">
        <x:v>-0.5</x:v>
      </x:c>
      <x:c r="AF32" s="101" t="n">
        <x:v>20</x:v>
      </x:c>
      <x:c r="AG32" s="101" t="n">
        <x:v>4</x:v>
      </x:c>
      <x:c r="AH32" s="101" t="n">
        <x:v>2</x:v>
      </x:c>
      <x:c r="AI32" s="96" t="n">
        <x:v>50</x:v>
      </x:c>
    </x:row>
    <x:row r="33" ht="24" hidden="0" customHeight="1">
      <x:c r="A33" s="96" t="n">
        <x:v>32</x:v>
      </x:c>
      <x:c r="B33" s="96" t="str">
        <x:v>1</x:v>
      </x:c>
      <x:c r="C33" s="96" t="str">
        <x:v>Bilobalide</x:v>
      </x:c>
      <x:c r="D33" s="96" t="n">
        <x:v>73581</x:v>
      </x:c>
      <x:c r="E33" s="98" t="str">
        <x:v>CC(C)(C)[C@@]1(C[C@H]2[C@@]3([C@]14[C@H](C(=O)O[C@H]4OC3=O)O)CC(=O)O2)O</x:v>
      </x:c>
      <x:c r="F33" s="98" t="str">
        <x:v>O=C1O[C@@H]2[C@@]3(C1)C(=O)O[C@H]1[C@]3([C@](C2)(O)C(C)(C)C)[C@@H](O)C(=O)O1</x:v>
      </x:c>
      <x:c r="G33" s="98" t="str">
        <x:v>Both SMILES resolved to PubChem CID 73581 by PUG REST fastidentity (2026-07-14)</x:v>
      </x:c>
      <x:c r="H33" s="96" t="str">
        <x:v>Q96T53</x:v>
      </x:c>
      <x:c r="I33" s="98" t="str">
        <x:v>Ghrelin O-acyltransferase (EC 2.3.1.-) (Membrane-bound O-acyltransferase domain-containing protein 4) (O-acyltransferase domain-containing protein 4)</x:v>
      </x:c>
      <x:c r="J33" s="98" t="str">
        <x:v>Membrane-bound acyltransferase family</x:v>
      </x:c>
      <x:c r="K33" s="96" t="str">
        <x:v>MBOAT4</x:v>
      </x:c>
      <x:c r="L33" s="96" t="str">
        <x:v>619373;</x:v>
      </x:c>
      <x:c r="M33" s="96" t="str">
        <x:v>619373</x:v>
      </x:c>
      <x:c r="N33" s="96" t="str">
        <x:v>Homo sapiens (Human)</x:v>
      </x:c>
      <x:c r="O33" s="100" t="n">
        <x:v>9606</x:v>
      </x:c>
      <x:c r="P33" s="99" t="n">
        <x:v>0.991444</x:v>
      </x:c>
      <x:c r="Q33" s="96" t="str">
        <x:v>32</x:v>
      </x:c>
      <x:c r="R33" s="100" t="n">
        <x:v>32</x:v>
      </x:c>
      <x:c r="S33" s="96" t="str">
        <x:v>NetInfer_Prediction</x:v>
      </x:c>
      <x:c r="T33" s="97" t="b">
        <x:v>1</x:v>
      </x:c>
      <x:c r="U33" s="96" t="str">
        <x:v>Rank21_50_extended</x:v>
      </x:c>
      <x:c r="V33" s="96" t="str">
        <x:v>prediction_only</x:v>
      </x:c>
      <x:c r="W33" s="98" t="str">
        <x:v>Include_as_NetInfer_prediction</x:v>
      </x:c>
      <x:c r="X33" s="98" t="str">
        <x:v>wSDTNBI ranking score; not probability, confidence, affinity, or IC50</x:v>
      </x:c>
      <x:c r="Y33" s="98" t="str"/>
      <x:c r="Z33" s="96" t="str">
        <x:v>wSDTNBI</x:v>
      </x:c>
      <x:c r="AA33" s="98" t="str">
        <x:v>Global DTI network (version 2020)</x:v>
      </x:c>
      <x:c r="AB33" s="98" t="str">
        <x:v>Morgan fingerprint, FCFP_4-like (radius=2, useFeatures=True)</x:v>
      </x:c>
      <x:c r="AC33" s="101" t="n">
        <x:v>0.4</x:v>
      </x:c>
      <x:c r="AD33" s="101" t="n">
        <x:v>0.2</x:v>
      </x:c>
      <x:c r="AE33" s="101" t="n">
        <x:v>-0.5</x:v>
      </x:c>
      <x:c r="AF33" s="101" t="n">
        <x:v>20</x:v>
      </x:c>
      <x:c r="AG33" s="101" t="n">
        <x:v>4</x:v>
      </x:c>
      <x:c r="AH33" s="101" t="n">
        <x:v>2</x:v>
      </x:c>
      <x:c r="AI33" s="96" t="n">
        <x:v>50</x:v>
      </x:c>
    </x:row>
    <x:row r="34" ht="24" hidden="0" customHeight="1">
      <x:c r="A34" s="96" t="n">
        <x:v>33</x:v>
      </x:c>
      <x:c r="B34" s="96" t="str">
        <x:v>1</x:v>
      </x:c>
      <x:c r="C34" s="96" t="str">
        <x:v>Bilobalide</x:v>
      </x:c>
      <x:c r="D34" s="96" t="n">
        <x:v>73581</x:v>
      </x:c>
      <x:c r="E34" s="98" t="str">
        <x:v>CC(C)(C)[C@@]1(C[C@H]2[C@@]3([C@]14[C@H](C(=O)O[C@H]4OC3=O)O)CC(=O)O2)O</x:v>
      </x:c>
      <x:c r="F34" s="98" t="str">
        <x:v>O=C1O[C@@H]2[C@@]3(C1)C(=O)O[C@H]1[C@]3([C@](C2)(O)C(C)(C)C)[C@@H](O)C(=O)O1</x:v>
      </x:c>
      <x:c r="G34" s="98" t="str">
        <x:v>Both SMILES resolved to PubChem CID 73581 by PUG REST fastidentity (2026-07-14)</x:v>
      </x:c>
      <x:c r="H34" s="96" t="str">
        <x:v>P31639</x:v>
      </x:c>
      <x:c r="I34" s="98" t="str">
        <x:v>Sodium/glucose cotransporter 2 (Na(+)/glucose cotransporter 2) (Low affinity sodium-glucose cotransporter) (Solute carrier family 5 member 2)</x:v>
      </x:c>
      <x:c r="J34" s="98" t="str">
        <x:v>Sodium:solute symporter (SSF) (TC 2.A.21) family</x:v>
      </x:c>
      <x:c r="K34" s="96" t="str">
        <x:v>SLC5A2</x:v>
      </x:c>
      <x:c r="L34" s="96" t="str">
        <x:v>6524;</x:v>
      </x:c>
      <x:c r="M34" s="96" t="str">
        <x:v>6524</x:v>
      </x:c>
      <x:c r="N34" s="96" t="str">
        <x:v>Homo sapiens (Human)</x:v>
      </x:c>
      <x:c r="O34" s="100" t="n">
        <x:v>9606</x:v>
      </x:c>
      <x:c r="P34" s="99" t="n">
        <x:v>0.981711</x:v>
      </x:c>
      <x:c r="Q34" s="96" t="str">
        <x:v>33</x:v>
      </x:c>
      <x:c r="R34" s="100" t="n">
        <x:v>33</x:v>
      </x:c>
      <x:c r="S34" s="96" t="str">
        <x:v>NetInfer_Prediction</x:v>
      </x:c>
      <x:c r="T34" s="97" t="b">
        <x:v>1</x:v>
      </x:c>
      <x:c r="U34" s="96" t="str">
        <x:v>Rank21_50_extended</x:v>
      </x:c>
      <x:c r="V34" s="96" t="str">
        <x:v>prediction_only</x:v>
      </x:c>
      <x:c r="W34" s="98" t="str">
        <x:v>Include_as_NetInfer_prediction</x:v>
      </x:c>
      <x:c r="X34" s="98" t="str">
        <x:v>wSDTNBI ranking score; not probability, confidence, affinity, or IC50</x:v>
      </x:c>
      <x:c r="Y34" s="98" t="str"/>
      <x:c r="Z34" s="96" t="str">
        <x:v>wSDTNBI</x:v>
      </x:c>
      <x:c r="AA34" s="98" t="str">
        <x:v>Global DTI network (version 2020)</x:v>
      </x:c>
      <x:c r="AB34" s="98" t="str">
        <x:v>Morgan fingerprint, FCFP_4-like (radius=2, useFeatures=True)</x:v>
      </x:c>
      <x:c r="AC34" s="101" t="n">
        <x:v>0.4</x:v>
      </x:c>
      <x:c r="AD34" s="101" t="n">
        <x:v>0.2</x:v>
      </x:c>
      <x:c r="AE34" s="101" t="n">
        <x:v>-0.5</x:v>
      </x:c>
      <x:c r="AF34" s="101" t="n">
        <x:v>20</x:v>
      </x:c>
      <x:c r="AG34" s="101" t="n">
        <x:v>4</x:v>
      </x:c>
      <x:c r="AH34" s="101" t="n">
        <x:v>2</x:v>
      </x:c>
      <x:c r="AI34" s="96" t="n">
        <x:v>50</x:v>
      </x:c>
    </x:row>
    <x:row r="35" ht="24" hidden="0" customHeight="1">
      <x:c r="A35" s="96" t="n">
        <x:v>34</x:v>
      </x:c>
      <x:c r="B35" s="96" t="str">
        <x:v>1</x:v>
      </x:c>
      <x:c r="C35" s="96" t="str">
        <x:v>Bilobalide</x:v>
      </x:c>
      <x:c r="D35" s="96" t="n">
        <x:v>73581</x:v>
      </x:c>
      <x:c r="E35" s="98" t="str">
        <x:v>CC(C)(C)[C@@]1(C[C@H]2[C@@]3([C@]14[C@H](C(=O)O[C@H]4OC3=O)O)CC(=O)O2)O</x:v>
      </x:c>
      <x:c r="F35" s="98" t="str">
        <x:v>O=C1O[C@@H]2[C@@]3(C1)C(=O)O[C@H]1[C@]3([C@](C2)(O)C(C)(C)C)[C@@H](O)C(=O)O1</x:v>
      </x:c>
      <x:c r="G35" s="98" t="str">
        <x:v>Both SMILES resolved to PubChem CID 73581 by PUG REST fastidentity (2026-07-14)</x:v>
      </x:c>
      <x:c r="H35" s="96" t="str">
        <x:v>O75388</x:v>
      </x:c>
      <x:c r="I35" s="98" t="str">
        <x:v>Probable G-protein coupled receptor 32</x:v>
      </x:c>
      <x:c r="J35" s="98" t="str">
        <x:v>G-protein coupled receptor 1 family</x:v>
      </x:c>
      <x:c r="K35" s="96" t="str">
        <x:v>GPR32</x:v>
      </x:c>
      <x:c r="L35" s="96" t="str">
        <x:v>2854;</x:v>
      </x:c>
      <x:c r="M35" s="96" t="str">
        <x:v>2854</x:v>
      </x:c>
      <x:c r="N35" s="96" t="str">
        <x:v>Homo sapiens (Human)</x:v>
      </x:c>
      <x:c r="O35" s="100" t="n">
        <x:v>9606</x:v>
      </x:c>
      <x:c r="P35" s="99" t="n">
        <x:v>0.97903</x:v>
      </x:c>
      <x:c r="Q35" s="96" t="str">
        <x:v>34</x:v>
      </x:c>
      <x:c r="R35" s="100" t="n">
        <x:v>34</x:v>
      </x:c>
      <x:c r="S35" s="96" t="str">
        <x:v>NetInfer_Prediction</x:v>
      </x:c>
      <x:c r="T35" s="97" t="b">
        <x:v>1</x:v>
      </x:c>
      <x:c r="U35" s="96" t="str">
        <x:v>Rank21_50_extended</x:v>
      </x:c>
      <x:c r="V35" s="96" t="str">
        <x:v>prediction_only</x:v>
      </x:c>
      <x:c r="W35" s="98" t="str">
        <x:v>Include_as_NetInfer_prediction</x:v>
      </x:c>
      <x:c r="X35" s="98" t="str">
        <x:v>wSDTNBI ranking score; not probability, confidence, affinity, or IC50</x:v>
      </x:c>
      <x:c r="Y35" s="98" t="str"/>
      <x:c r="Z35" s="96" t="str">
        <x:v>wSDTNBI</x:v>
      </x:c>
      <x:c r="AA35" s="98" t="str">
        <x:v>Global DTI network (version 2020)</x:v>
      </x:c>
      <x:c r="AB35" s="98" t="str">
        <x:v>Morgan fingerprint, FCFP_4-like (radius=2, useFeatures=True)</x:v>
      </x:c>
      <x:c r="AC35" s="101" t="n">
        <x:v>0.4</x:v>
      </x:c>
      <x:c r="AD35" s="101" t="n">
        <x:v>0.2</x:v>
      </x:c>
      <x:c r="AE35" s="101" t="n">
        <x:v>-0.5</x:v>
      </x:c>
      <x:c r="AF35" s="101" t="n">
        <x:v>20</x:v>
      </x:c>
      <x:c r="AG35" s="101" t="n">
        <x:v>4</x:v>
      </x:c>
      <x:c r="AH35" s="101" t="n">
        <x:v>2</x:v>
      </x:c>
      <x:c r="AI35" s="96" t="n">
        <x:v>50</x:v>
      </x:c>
    </x:row>
    <x:row r="36" ht="24" hidden="0" customHeight="1">
      <x:c r="A36" s="96" t="n">
        <x:v>35</x:v>
      </x:c>
      <x:c r="B36" s="96" t="str">
        <x:v>1</x:v>
      </x:c>
      <x:c r="C36" s="96" t="str">
        <x:v>Bilobalide</x:v>
      </x:c>
      <x:c r="D36" s="96" t="n">
        <x:v>73581</x:v>
      </x:c>
      <x:c r="E36" s="98" t="str">
        <x:v>CC(C)(C)[C@@]1(C[C@H]2[C@@]3([C@]14[C@H](C(=O)O[C@H]4OC3=O)O)CC(=O)O2)O</x:v>
      </x:c>
      <x:c r="F36" s="98" t="str">
        <x:v>O=C1O[C@@H]2[C@@]3(C1)C(=O)O[C@H]1[C@]3([C@](C2)(O)C(C)(C)C)[C@@H](O)C(=O)O1</x:v>
      </x:c>
      <x:c r="G36" s="98" t="str">
        <x:v>Both SMILES resolved to PubChem CID 73581 by PUG REST fastidentity (2026-07-14)</x:v>
      </x:c>
      <x:c r="H36" s="96" t="str">
        <x:v>P20309</x:v>
      </x:c>
      <x:c r="I36" s="98" t="str">
        <x:v>Muscarinic acetylcholine receptor M3</x:v>
      </x:c>
      <x:c r="J36" s="98" t="str">
        <x:v>G-protein coupled receptor 1 family, Muscarinic acetylcholine receptor subfamily, CHRM3 sub-subfamily</x:v>
      </x:c>
      <x:c r="K36" s="96" t="str">
        <x:v>CHRM3</x:v>
      </x:c>
      <x:c r="L36" s="96" t="str">
        <x:v>1131;</x:v>
      </x:c>
      <x:c r="M36" s="96" t="str">
        <x:v>1131</x:v>
      </x:c>
      <x:c r="N36" s="96" t="str">
        <x:v>Homo sapiens (Human)</x:v>
      </x:c>
      <x:c r="O36" s="100" t="n">
        <x:v>9606</x:v>
      </x:c>
      <x:c r="P36" s="99" t="n">
        <x:v>0.966866</x:v>
      </x:c>
      <x:c r="Q36" s="96" t="str">
        <x:v>35</x:v>
      </x:c>
      <x:c r="R36" s="100" t="n">
        <x:v>35</x:v>
      </x:c>
      <x:c r="S36" s="96" t="str">
        <x:v>NetInfer_Prediction</x:v>
      </x:c>
      <x:c r="T36" s="97" t="b">
        <x:v>1</x:v>
      </x:c>
      <x:c r="U36" s="96" t="str">
        <x:v>Rank21_50_extended</x:v>
      </x:c>
      <x:c r="V36" s="96" t="str">
        <x:v>prediction_only</x:v>
      </x:c>
      <x:c r="W36" s="98" t="str">
        <x:v>Include_as_NetInfer_prediction</x:v>
      </x:c>
      <x:c r="X36" s="98" t="str">
        <x:v>wSDTNBI ranking score; not probability, confidence, affinity, or IC50</x:v>
      </x:c>
      <x:c r="Y36" s="98" t="str"/>
      <x:c r="Z36" s="96" t="str">
        <x:v>wSDTNBI</x:v>
      </x:c>
      <x:c r="AA36" s="98" t="str">
        <x:v>Global DTI network (version 2020)</x:v>
      </x:c>
      <x:c r="AB36" s="98" t="str">
        <x:v>Morgan fingerprint, FCFP_4-like (radius=2, useFeatures=True)</x:v>
      </x:c>
      <x:c r="AC36" s="101" t="n">
        <x:v>0.4</x:v>
      </x:c>
      <x:c r="AD36" s="101" t="n">
        <x:v>0.2</x:v>
      </x:c>
      <x:c r="AE36" s="101" t="n">
        <x:v>-0.5</x:v>
      </x:c>
      <x:c r="AF36" s="101" t="n">
        <x:v>20</x:v>
      </x:c>
      <x:c r="AG36" s="101" t="n">
        <x:v>4</x:v>
      </x:c>
      <x:c r="AH36" s="101" t="n">
        <x:v>2</x:v>
      </x:c>
      <x:c r="AI36" s="96" t="n">
        <x:v>50</x:v>
      </x:c>
    </x:row>
    <x:row r="37" ht="24" hidden="0" customHeight="1">
      <x:c r="A37" s="96" t="n">
        <x:v>36</x:v>
      </x:c>
      <x:c r="B37" s="96" t="str">
        <x:v>1</x:v>
      </x:c>
      <x:c r="C37" s="96" t="str">
        <x:v>Bilobalide</x:v>
      </x:c>
      <x:c r="D37" s="96" t="n">
        <x:v>73581</x:v>
      </x:c>
      <x:c r="E37" s="98" t="str">
        <x:v>CC(C)(C)[C@@]1(C[C@H]2[C@@]3([C@]14[C@H](C(=O)O[C@H]4OC3=O)O)CC(=O)O2)O</x:v>
      </x:c>
      <x:c r="F37" s="98" t="str">
        <x:v>O=C1O[C@@H]2[C@@]3(C1)C(=O)O[C@H]1[C@]3([C@](C2)(O)C(C)(C)C)[C@@H](O)C(=O)O1</x:v>
      </x:c>
      <x:c r="G37" s="98" t="str">
        <x:v>Both SMILES resolved to PubChem CID 73581 by PUG REST fastidentity (2026-07-14)</x:v>
      </x:c>
      <x:c r="H37" s="96" t="str">
        <x:v>Q14330</x:v>
      </x:c>
      <x:c r="I37" s="98" t="str">
        <x:v>N-arachidonyl glycine receptor (NAGly receptor) (G-protein coupled receptor 18)</x:v>
      </x:c>
      <x:c r="J37" s="98" t="str">
        <x:v>G-protein coupled receptor 1 family</x:v>
      </x:c>
      <x:c r="K37" s="96" t="str">
        <x:v>GPR18</x:v>
      </x:c>
      <x:c r="L37" s="96" t="str">
        <x:v>2841;</x:v>
      </x:c>
      <x:c r="M37" s="96" t="str">
        <x:v>2841</x:v>
      </x:c>
      <x:c r="N37" s="96" t="str">
        <x:v>Homo sapiens (Human)</x:v>
      </x:c>
      <x:c r="O37" s="100" t="n">
        <x:v>9606</x:v>
      </x:c>
      <x:c r="P37" s="99" t="n">
        <x:v>0.960422</x:v>
      </x:c>
      <x:c r="Q37" s="96" t="str">
        <x:v>36</x:v>
      </x:c>
      <x:c r="R37" s="100" t="n">
        <x:v>36</x:v>
      </x:c>
      <x:c r="S37" s="96" t="str">
        <x:v>NetInfer_Prediction</x:v>
      </x:c>
      <x:c r="T37" s="97" t="b">
        <x:v>1</x:v>
      </x:c>
      <x:c r="U37" s="96" t="str">
        <x:v>Rank21_50_extended</x:v>
      </x:c>
      <x:c r="V37" s="96" t="str">
        <x:v>prediction_only</x:v>
      </x:c>
      <x:c r="W37" s="98" t="str">
        <x:v>Include_as_NetInfer_prediction</x:v>
      </x:c>
      <x:c r="X37" s="98" t="str">
        <x:v>wSDTNBI ranking score; not probability, confidence, affinity, or IC50</x:v>
      </x:c>
      <x:c r="Y37" s="98" t="str"/>
      <x:c r="Z37" s="96" t="str">
        <x:v>wSDTNBI</x:v>
      </x:c>
      <x:c r="AA37" s="98" t="str">
        <x:v>Global DTI network (version 2020)</x:v>
      </x:c>
      <x:c r="AB37" s="98" t="str">
        <x:v>Morgan fingerprint, FCFP_4-like (radius=2, useFeatures=True)</x:v>
      </x:c>
      <x:c r="AC37" s="101" t="n">
        <x:v>0.4</x:v>
      </x:c>
      <x:c r="AD37" s="101" t="n">
        <x:v>0.2</x:v>
      </x:c>
      <x:c r="AE37" s="101" t="n">
        <x:v>-0.5</x:v>
      </x:c>
      <x:c r="AF37" s="101" t="n">
        <x:v>20</x:v>
      </x:c>
      <x:c r="AG37" s="101" t="n">
        <x:v>4</x:v>
      </x:c>
      <x:c r="AH37" s="101" t="n">
        <x:v>2</x:v>
      </x:c>
      <x:c r="AI37" s="96" t="n">
        <x:v>50</x:v>
      </x:c>
    </x:row>
    <x:row r="38" ht="24" hidden="0" customHeight="1">
      <x:c r="A38" s="96" t="n">
        <x:v>37</x:v>
      </x:c>
      <x:c r="B38" s="96" t="str">
        <x:v>1</x:v>
      </x:c>
      <x:c r="C38" s="96" t="str">
        <x:v>Bilobalide</x:v>
      </x:c>
      <x:c r="D38" s="96" t="n">
        <x:v>73581</x:v>
      </x:c>
      <x:c r="E38" s="98" t="str">
        <x:v>CC(C)(C)[C@@]1(C[C@H]2[C@@]3([C@]14[C@H](C(=O)O[C@H]4OC3=O)O)CC(=O)O2)O</x:v>
      </x:c>
      <x:c r="F38" s="98" t="str">
        <x:v>O=C1O[C@@H]2[C@@]3(C1)C(=O)O[C@H]1[C@]3([C@](C2)(O)C(C)(C)C)[C@@H](O)C(=O)O1</x:v>
      </x:c>
      <x:c r="G38" s="98" t="str">
        <x:v>Both SMILES resolved to PubChem CID 73581 by PUG REST fastidentity (2026-07-14)</x:v>
      </x:c>
      <x:c r="H38" s="96" t="str">
        <x:v>Q9NUW8</x:v>
      </x:c>
      <x:c r="I38" s="98" t="str">
        <x:v>Tyrosyl-DNA phosphodiesterase 1 (Tyr-DNA phosphodiesterase 1) (EC 3.1.4.-)</x:v>
      </x:c>
      <x:c r="J38" s="98" t="str">
        <x:v>Tyrosyl-DNA phosphodiesterase family</x:v>
      </x:c>
      <x:c r="K38" s="96" t="str">
        <x:v>TDP1</x:v>
      </x:c>
      <x:c r="L38" s="96" t="str">
        <x:v>55775;</x:v>
      </x:c>
      <x:c r="M38" s="96" t="str">
        <x:v>55775</x:v>
      </x:c>
      <x:c r="N38" s="96" t="str">
        <x:v>Homo sapiens (Human)</x:v>
      </x:c>
      <x:c r="O38" s="100" t="n">
        <x:v>9606</x:v>
      </x:c>
      <x:c r="P38" s="99" t="n">
        <x:v>0.889927</x:v>
      </x:c>
      <x:c r="Q38" s="96" t="str">
        <x:v>37</x:v>
      </x:c>
      <x:c r="R38" s="100" t="n">
        <x:v>37</x:v>
      </x:c>
      <x:c r="S38" s="96" t="str">
        <x:v>NetInfer_Prediction</x:v>
      </x:c>
      <x:c r="T38" s="97" t="b">
        <x:v>1</x:v>
      </x:c>
      <x:c r="U38" s="96" t="str">
        <x:v>Rank21_50_extended</x:v>
      </x:c>
      <x:c r="V38" s="96" t="str">
        <x:v>prediction_only</x:v>
      </x:c>
      <x:c r="W38" s="98" t="str">
        <x:v>Include_as_NetInfer_prediction</x:v>
      </x:c>
      <x:c r="X38" s="98" t="str">
        <x:v>wSDTNBI ranking score; not probability, confidence, affinity, or IC50</x:v>
      </x:c>
      <x:c r="Y38" s="98" t="str"/>
      <x:c r="Z38" s="96" t="str">
        <x:v>wSDTNBI</x:v>
      </x:c>
      <x:c r="AA38" s="98" t="str">
        <x:v>Global DTI network (version 2020)</x:v>
      </x:c>
      <x:c r="AB38" s="98" t="str">
        <x:v>Morgan fingerprint, FCFP_4-like (radius=2, useFeatures=True)</x:v>
      </x:c>
      <x:c r="AC38" s="101" t="n">
        <x:v>0.4</x:v>
      </x:c>
      <x:c r="AD38" s="101" t="n">
        <x:v>0.2</x:v>
      </x:c>
      <x:c r="AE38" s="101" t="n">
        <x:v>-0.5</x:v>
      </x:c>
      <x:c r="AF38" s="101" t="n">
        <x:v>20</x:v>
      </x:c>
      <x:c r="AG38" s="101" t="n">
        <x:v>4</x:v>
      </x:c>
      <x:c r="AH38" s="101" t="n">
        <x:v>2</x:v>
      </x:c>
      <x:c r="AI38" s="96" t="n">
        <x:v>50</x:v>
      </x:c>
    </x:row>
    <x:row r="39" ht="24" hidden="0" customHeight="1">
      <x:c r="A39" s="96" t="n">
        <x:v>38</x:v>
      </x:c>
      <x:c r="B39" s="96" t="str">
        <x:v>1</x:v>
      </x:c>
      <x:c r="C39" s="96" t="str">
        <x:v>Bilobalide</x:v>
      </x:c>
      <x:c r="D39" s="96" t="n">
        <x:v>73581</x:v>
      </x:c>
      <x:c r="E39" s="98" t="str">
        <x:v>CC(C)(C)[C@@]1(C[C@H]2[C@@]3([C@]14[C@H](C(=O)O[C@H]4OC3=O)O)CC(=O)O2)O</x:v>
      </x:c>
      <x:c r="F39" s="98" t="str">
        <x:v>O=C1O[C@@H]2[C@@]3(C1)C(=O)O[C@H]1[C@]3([C@](C2)(O)C(C)(C)C)[C@@H](O)C(=O)O1</x:v>
      </x:c>
      <x:c r="G39" s="98" t="str">
        <x:v>Both SMILES resolved to PubChem CID 73581 by PUG REST fastidentity (2026-07-14)</x:v>
      </x:c>
      <x:c r="H39" s="96" t="str">
        <x:v>Q9UBY5</x:v>
      </x:c>
      <x:c r="I39" s="98" t="str">
        <x:v>Lysophosphatidic acid receptor 3 (LPA receptor 3) (LPA-3) (Lysophosphatidic acid receptor Edg-7)</x:v>
      </x:c>
      <x:c r="J39" s="98" t="str">
        <x:v>G-protein coupled receptor 1 family</x:v>
      </x:c>
      <x:c r="K39" s="96" t="str">
        <x:v>LPAR3</x:v>
      </x:c>
      <x:c r="L39" s="96" t="str">
        <x:v>23566;</x:v>
      </x:c>
      <x:c r="M39" s="96" t="str">
        <x:v>23566</x:v>
      </x:c>
      <x:c r="N39" s="96" t="str">
        <x:v>Homo sapiens (Human)</x:v>
      </x:c>
      <x:c r="O39" s="100" t="n">
        <x:v>9606</x:v>
      </x:c>
      <x:c r="P39" s="99" t="n">
        <x:v>0.878707</x:v>
      </x:c>
      <x:c r="Q39" s="96" t="str">
        <x:v>38</x:v>
      </x:c>
      <x:c r="R39" s="100" t="n">
        <x:v>38</x:v>
      </x:c>
      <x:c r="S39" s="96" t="str">
        <x:v>NetInfer_Prediction</x:v>
      </x:c>
      <x:c r="T39" s="97" t="b">
        <x:v>1</x:v>
      </x:c>
      <x:c r="U39" s="96" t="str">
        <x:v>Rank21_50_extended</x:v>
      </x:c>
      <x:c r="V39" s="96" t="str">
        <x:v>prediction_only</x:v>
      </x:c>
      <x:c r="W39" s="98" t="str">
        <x:v>Include_as_NetInfer_prediction</x:v>
      </x:c>
      <x:c r="X39" s="98" t="str">
        <x:v>wSDTNBI ranking score; not probability, confidence, affinity, or IC50</x:v>
      </x:c>
      <x:c r="Y39" s="98" t="str"/>
      <x:c r="Z39" s="96" t="str">
        <x:v>wSDTNBI</x:v>
      </x:c>
      <x:c r="AA39" s="98" t="str">
        <x:v>Global DTI network (version 2020)</x:v>
      </x:c>
      <x:c r="AB39" s="98" t="str">
        <x:v>Morgan fingerprint, FCFP_4-like (radius=2, useFeatures=True)</x:v>
      </x:c>
      <x:c r="AC39" s="101" t="n">
        <x:v>0.4</x:v>
      </x:c>
      <x:c r="AD39" s="101" t="n">
        <x:v>0.2</x:v>
      </x:c>
      <x:c r="AE39" s="101" t="n">
        <x:v>-0.5</x:v>
      </x:c>
      <x:c r="AF39" s="101" t="n">
        <x:v>20</x:v>
      </x:c>
      <x:c r="AG39" s="101" t="n">
        <x:v>4</x:v>
      </x:c>
      <x:c r="AH39" s="101" t="n">
        <x:v>2</x:v>
      </x:c>
      <x:c r="AI39" s="96" t="n">
        <x:v>50</x:v>
      </x:c>
    </x:row>
    <x:row r="40" ht="36" hidden="0" customHeight="1">
      <x:c r="A40" s="96" t="n">
        <x:v>39</x:v>
      </x:c>
      <x:c r="B40" s="96" t="str">
        <x:v>1</x:v>
      </x:c>
      <x:c r="C40" s="96" t="str">
        <x:v>Bilobalide</x:v>
      </x:c>
      <x:c r="D40" s="96" t="n">
        <x:v>73581</x:v>
      </x:c>
      <x:c r="E40" s="98" t="str">
        <x:v>CC(C)(C)[C@@]1(C[C@H]2[C@@]3([C@]14[C@H](C(=O)O[C@H]4OC3=O)O)CC(=O)O2)O</x:v>
      </x:c>
      <x:c r="F40" s="98" t="str">
        <x:v>O=C1O[C@@H]2[C@@]3(C1)C(=O)O[C@H]1[C@]3([C@](C2)(O)C(C)(C)C)[C@@H](O)C(=O)O1</x:v>
      </x:c>
      <x:c r="G40" s="98" t="str">
        <x:v>Both SMILES resolved to PubChem CID 73581 by PUG REST fastidentity (2026-07-14)</x:v>
      </x:c>
      <x:c r="H40" s="96" t="str">
        <x:v>P29466</x:v>
      </x:c>
      <x:c r="I40" s="98" t="str">
        <x:v>Caspase-1 (CASP-1) (EC 3.4.22.36) (Interleukin-1 beta convertase) (IL-1BC) (Interleukin-1 beta-converting enzyme) (ICE) (IL-1 beta-converting enzyme) (p45) [Cleaved into: Caspase-1 subunit p20; Caspase-1 subunit p10]</x:v>
      </x:c>
      <x:c r="J40" s="98" t="str">
        <x:v>Peptidase C14A family</x:v>
      </x:c>
      <x:c r="K40" s="96" t="str">
        <x:v>CASP1</x:v>
      </x:c>
      <x:c r="L40" s="96" t="str">
        <x:v>834;</x:v>
      </x:c>
      <x:c r="M40" s="96" t="str">
        <x:v>834</x:v>
      </x:c>
      <x:c r="N40" s="96" t="str">
        <x:v>Homo sapiens (Human)</x:v>
      </x:c>
      <x:c r="O40" s="100" t="n">
        <x:v>9606</x:v>
      </x:c>
      <x:c r="P40" s="99" t="n">
        <x:v>0.841848</x:v>
      </x:c>
      <x:c r="Q40" s="96" t="str">
        <x:v>39</x:v>
      </x:c>
      <x:c r="R40" s="100" t="n">
        <x:v>39</x:v>
      </x:c>
      <x:c r="S40" s="96" t="str">
        <x:v>NetInfer_Prediction</x:v>
      </x:c>
      <x:c r="T40" s="97" t="b">
        <x:v>1</x:v>
      </x:c>
      <x:c r="U40" s="96" t="str">
        <x:v>Rank21_50_extended</x:v>
      </x:c>
      <x:c r="V40" s="96" t="str">
        <x:v>prediction_only</x:v>
      </x:c>
      <x:c r="W40" s="98" t="str">
        <x:v>Include_as_NetInfer_prediction</x:v>
      </x:c>
      <x:c r="X40" s="98" t="str">
        <x:v>wSDTNBI ranking score; not probability, confidence, affinity, or IC50</x:v>
      </x:c>
      <x:c r="Y40" s="98" t="str"/>
      <x:c r="Z40" s="96" t="str">
        <x:v>wSDTNBI</x:v>
      </x:c>
      <x:c r="AA40" s="98" t="str">
        <x:v>Global DTI network (version 2020)</x:v>
      </x:c>
      <x:c r="AB40" s="98" t="str">
        <x:v>Morgan fingerprint, FCFP_4-like (radius=2, useFeatures=True)</x:v>
      </x:c>
      <x:c r="AC40" s="101" t="n">
        <x:v>0.4</x:v>
      </x:c>
      <x:c r="AD40" s="101" t="n">
        <x:v>0.2</x:v>
      </x:c>
      <x:c r="AE40" s="101" t="n">
        <x:v>-0.5</x:v>
      </x:c>
      <x:c r="AF40" s="101" t="n">
        <x:v>20</x:v>
      </x:c>
      <x:c r="AG40" s="101" t="n">
        <x:v>4</x:v>
      </x:c>
      <x:c r="AH40" s="101" t="n">
        <x:v>2</x:v>
      </x:c>
      <x:c r="AI40" s="96" t="n">
        <x:v>50</x:v>
      </x:c>
    </x:row>
    <x:row r="41" ht="24" hidden="0" customHeight="1">
      <x:c r="A41" s="96" t="n">
        <x:v>40</x:v>
      </x:c>
      <x:c r="B41" s="96" t="str">
        <x:v>1</x:v>
      </x:c>
      <x:c r="C41" s="96" t="str">
        <x:v>Bilobalide</x:v>
      </x:c>
      <x:c r="D41" s="96" t="n">
        <x:v>73581</x:v>
      </x:c>
      <x:c r="E41" s="98" t="str">
        <x:v>CC(C)(C)[C@@]1(C[C@H]2[C@@]3([C@]14[C@H](C(=O)O[C@H]4OC3=O)O)CC(=O)O2)O</x:v>
      </x:c>
      <x:c r="F41" s="98" t="str">
        <x:v>O=C1O[C@@H]2[C@@]3(C1)C(=O)O[C@H]1[C@]3([C@](C2)(O)C(C)(C)C)[C@@H](O)C(=O)O1</x:v>
      </x:c>
      <x:c r="G41" s="98" t="str">
        <x:v>Both SMILES resolved to PubChem CID 73581 by PUG REST fastidentity (2026-07-14)</x:v>
      </x:c>
      <x:c r="H41" s="96" t="str">
        <x:v>P08912</x:v>
      </x:c>
      <x:c r="I41" s="98" t="str">
        <x:v>Muscarinic acetylcholine receptor M5</x:v>
      </x:c>
      <x:c r="J41" s="98" t="str">
        <x:v>G-protein coupled receptor 1 family, Muscarinic acetylcholine receptor subfamily, CHRM5 sub-subfamily</x:v>
      </x:c>
      <x:c r="K41" s="96" t="str">
        <x:v>CHRM5</x:v>
      </x:c>
      <x:c r="L41" s="96" t="str">
        <x:v>1133;</x:v>
      </x:c>
      <x:c r="M41" s="96" t="str">
        <x:v>1133</x:v>
      </x:c>
      <x:c r="N41" s="96" t="str">
        <x:v>Homo sapiens (Human)</x:v>
      </x:c>
      <x:c r="O41" s="100" t="n">
        <x:v>9606</x:v>
      </x:c>
      <x:c r="P41" s="99" t="n">
        <x:v>0.835223</x:v>
      </x:c>
      <x:c r="Q41" s="96" t="str">
        <x:v>40</x:v>
      </x:c>
      <x:c r="R41" s="100" t="n">
        <x:v>40</x:v>
      </x:c>
      <x:c r="S41" s="96" t="str">
        <x:v>NetInfer_Prediction</x:v>
      </x:c>
      <x:c r="T41" s="97" t="b">
        <x:v>1</x:v>
      </x:c>
      <x:c r="U41" s="96" t="str">
        <x:v>Rank21_50_extended</x:v>
      </x:c>
      <x:c r="V41" s="96" t="str">
        <x:v>prediction_only</x:v>
      </x:c>
      <x:c r="W41" s="98" t="str">
        <x:v>Include_as_NetInfer_prediction</x:v>
      </x:c>
      <x:c r="X41" s="98" t="str">
        <x:v>wSDTNBI ranking score; not probability, confidence, affinity, or IC50</x:v>
      </x:c>
      <x:c r="Y41" s="98" t="str"/>
      <x:c r="Z41" s="96" t="str">
        <x:v>wSDTNBI</x:v>
      </x:c>
      <x:c r="AA41" s="98" t="str">
        <x:v>Global DTI network (version 2020)</x:v>
      </x:c>
      <x:c r="AB41" s="98" t="str">
        <x:v>Morgan fingerprint, FCFP_4-like (radius=2, useFeatures=True)</x:v>
      </x:c>
      <x:c r="AC41" s="101" t="n">
        <x:v>0.4</x:v>
      </x:c>
      <x:c r="AD41" s="101" t="n">
        <x:v>0.2</x:v>
      </x:c>
      <x:c r="AE41" s="101" t="n">
        <x:v>-0.5</x:v>
      </x:c>
      <x:c r="AF41" s="101" t="n">
        <x:v>20</x:v>
      </x:c>
      <x:c r="AG41" s="101" t="n">
        <x:v>4</x:v>
      </x:c>
      <x:c r="AH41" s="101" t="n">
        <x:v>2</x:v>
      </x:c>
      <x:c r="AI41" s="96" t="n">
        <x:v>50</x:v>
      </x:c>
    </x:row>
    <x:row r="42" ht="36" hidden="0" customHeight="1">
      <x:c r="A42" s="96" t="n">
        <x:v>41</x:v>
      </x:c>
      <x:c r="B42" s="96" t="str">
        <x:v>1</x:v>
      </x:c>
      <x:c r="C42" s="96" t="str">
        <x:v>Bilobalide</x:v>
      </x:c>
      <x:c r="D42" s="96" t="n">
        <x:v>73581</x:v>
      </x:c>
      <x:c r="E42" s="98" t="str">
        <x:v>CC(C)(C)[C@@]1(C[C@H]2[C@@]3([C@]14[C@H](C(=O)O[C@H]4OC3=O)O)CC(=O)O2)O</x:v>
      </x:c>
      <x:c r="F42" s="98" t="str">
        <x:v>O=C1O[C@@H]2[C@@]3(C1)C(=O)O[C@H]1[C@]3([C@](C2)(O)C(C)(C)C)[C@@H](O)C(=O)O1</x:v>
      </x:c>
      <x:c r="G42" s="98" t="str">
        <x:v>Both SMILES resolved to PubChem CID 73581 by PUG REST fastidentity (2026-07-14)</x:v>
      </x:c>
      <x:c r="H42" s="96" t="str">
        <x:v>P14174</x:v>
      </x:c>
      <x:c r="I42" s="98" t="str">
        <x:v>Macrophage migration inhibitory factor (MIF) (EC 5.3.2.1) (Glycosylation-inhibiting factor) (GIF) (L-dopachrome isomerase) (L-dopachrome tautomerase) (EC 5.3.3.12) (Phenylpyruvate tautomerase)</x:v>
      </x:c>
      <x:c r="J42" s="98" t="str">
        <x:v>MIF family</x:v>
      </x:c>
      <x:c r="K42" s="96" t="str">
        <x:v>MIF</x:v>
      </x:c>
      <x:c r="L42" s="96" t="str">
        <x:v>4282;</x:v>
      </x:c>
      <x:c r="M42" s="96" t="str">
        <x:v>4282</x:v>
      </x:c>
      <x:c r="N42" s="96" t="str">
        <x:v>Homo sapiens (Human)</x:v>
      </x:c>
      <x:c r="O42" s="100" t="n">
        <x:v>9606</x:v>
      </x:c>
      <x:c r="P42" s="99" t="n">
        <x:v>0.827365</x:v>
      </x:c>
      <x:c r="Q42" s="96" t="str">
        <x:v>41</x:v>
      </x:c>
      <x:c r="R42" s="100" t="n">
        <x:v>41</x:v>
      </x:c>
      <x:c r="S42" s="96" t="str">
        <x:v>NetInfer_Prediction</x:v>
      </x:c>
      <x:c r="T42" s="97" t="b">
        <x:v>1</x:v>
      </x:c>
      <x:c r="U42" s="96" t="str">
        <x:v>Rank21_50_extended</x:v>
      </x:c>
      <x:c r="V42" s="96" t="str">
        <x:v>prediction_only</x:v>
      </x:c>
      <x:c r="W42" s="98" t="str">
        <x:v>Include_as_NetInfer_prediction</x:v>
      </x:c>
      <x:c r="X42" s="98" t="str">
        <x:v>wSDTNBI ranking score; not probability, confidence, affinity, or IC50</x:v>
      </x:c>
      <x:c r="Y42" s="98" t="str"/>
      <x:c r="Z42" s="96" t="str">
        <x:v>wSDTNBI</x:v>
      </x:c>
      <x:c r="AA42" s="98" t="str">
        <x:v>Global DTI network (version 2020)</x:v>
      </x:c>
      <x:c r="AB42" s="98" t="str">
        <x:v>Morgan fingerprint, FCFP_4-like (radius=2, useFeatures=True)</x:v>
      </x:c>
      <x:c r="AC42" s="101" t="n">
        <x:v>0.4</x:v>
      </x:c>
      <x:c r="AD42" s="101" t="n">
        <x:v>0.2</x:v>
      </x:c>
      <x:c r="AE42" s="101" t="n">
        <x:v>-0.5</x:v>
      </x:c>
      <x:c r="AF42" s="101" t="n">
        <x:v>20</x:v>
      </x:c>
      <x:c r="AG42" s="101" t="n">
        <x:v>4</x:v>
      </x:c>
      <x:c r="AH42" s="101" t="n">
        <x:v>2</x:v>
      </x:c>
      <x:c r="AI42" s="96" t="n">
        <x:v>50</x:v>
      </x:c>
    </x:row>
    <x:row r="43" ht="24" hidden="0" customHeight="1">
      <x:c r="A43" s="96" t="n">
        <x:v>42</x:v>
      </x:c>
      <x:c r="B43" s="96" t="str">
        <x:v>1</x:v>
      </x:c>
      <x:c r="C43" s="96" t="str">
        <x:v>Bilobalide</x:v>
      </x:c>
      <x:c r="D43" s="96" t="n">
        <x:v>73581</x:v>
      </x:c>
      <x:c r="E43" s="98" t="str">
        <x:v>CC(C)(C)[C@@]1(C[C@H]2[C@@]3([C@]14[C@H](C(=O)O[C@H]4OC3=O)O)CC(=O)O2)O</x:v>
      </x:c>
      <x:c r="F43" s="98" t="str">
        <x:v>O=C1O[C@@H]2[C@@]3(C1)C(=O)O[C@H]1[C@]3([C@](C2)(O)C(C)(C)C)[C@@H](O)C(=O)O1</x:v>
      </x:c>
      <x:c r="G43" s="98" t="str">
        <x:v>Both SMILES resolved to PubChem CID 73581 by PUG REST fastidentity (2026-07-14)</x:v>
      </x:c>
      <x:c r="H43" s="96" t="str">
        <x:v>Q06710</x:v>
      </x:c>
      <x:c r="I43" s="98" t="str">
        <x:v>Paired box protein Pax-8</x:v>
      </x:c>
      <x:c r="J43" s="98" t="str">
        <x:v>NA</x:v>
      </x:c>
      <x:c r="K43" s="96" t="str">
        <x:v>PAX8</x:v>
      </x:c>
      <x:c r="L43" s="96" t="str">
        <x:v>7849;</x:v>
      </x:c>
      <x:c r="M43" s="96" t="str">
        <x:v>7849</x:v>
      </x:c>
      <x:c r="N43" s="96" t="str">
        <x:v>Homo sapiens (Human)</x:v>
      </x:c>
      <x:c r="O43" s="100" t="n">
        <x:v>9606</x:v>
      </x:c>
      <x:c r="P43" s="99" t="n">
        <x:v>0.816687</x:v>
      </x:c>
      <x:c r="Q43" s="96" t="str">
        <x:v>42</x:v>
      </x:c>
      <x:c r="R43" s="100" t="n">
        <x:v>42</x:v>
      </x:c>
      <x:c r="S43" s="96" t="str">
        <x:v>NetInfer_Prediction</x:v>
      </x:c>
      <x:c r="T43" s="97" t="b">
        <x:v>1</x:v>
      </x:c>
      <x:c r="U43" s="96" t="str">
        <x:v>Rank21_50_extended</x:v>
      </x:c>
      <x:c r="V43" s="96" t="str">
        <x:v>prediction_only</x:v>
      </x:c>
      <x:c r="W43" s="98" t="str">
        <x:v>Include_as_NetInfer_prediction</x:v>
      </x:c>
      <x:c r="X43" s="98" t="str">
        <x:v>wSDTNBI ranking score; not probability, confidence, affinity, or IC50</x:v>
      </x:c>
      <x:c r="Y43" s="98" t="str">
        <x:v>Protein family absent in platform export; retained as NA</x:v>
      </x:c>
      <x:c r="Z43" s="96" t="str">
        <x:v>wSDTNBI</x:v>
      </x:c>
      <x:c r="AA43" s="98" t="str">
        <x:v>Global DTI network (version 2020)</x:v>
      </x:c>
      <x:c r="AB43" s="98" t="str">
        <x:v>Morgan fingerprint, FCFP_4-like (radius=2, useFeatures=True)</x:v>
      </x:c>
      <x:c r="AC43" s="101" t="n">
        <x:v>0.4</x:v>
      </x:c>
      <x:c r="AD43" s="101" t="n">
        <x:v>0.2</x:v>
      </x:c>
      <x:c r="AE43" s="101" t="n">
        <x:v>-0.5</x:v>
      </x:c>
      <x:c r="AF43" s="101" t="n">
        <x:v>20</x:v>
      </x:c>
      <x:c r="AG43" s="101" t="n">
        <x:v>4</x:v>
      </x:c>
      <x:c r="AH43" s="101" t="n">
        <x:v>2</x:v>
      </x:c>
      <x:c r="AI43" s="96" t="n">
        <x:v>50</x:v>
      </x:c>
    </x:row>
    <x:row r="44" ht="24" hidden="0" customHeight="1">
      <x:c r="A44" s="96" t="n">
        <x:v>43</x:v>
      </x:c>
      <x:c r="B44" s="96" t="str">
        <x:v>1</x:v>
      </x:c>
      <x:c r="C44" s="96" t="str">
        <x:v>Bilobalide</x:v>
      </x:c>
      <x:c r="D44" s="96" t="n">
        <x:v>73581</x:v>
      </x:c>
      <x:c r="E44" s="98" t="str">
        <x:v>CC(C)(C)[C@@]1(C[C@H]2[C@@]3([C@]14[C@H](C(=O)O[C@H]4OC3=O)O)CC(=O)O2)O</x:v>
      </x:c>
      <x:c r="F44" s="98" t="str">
        <x:v>O=C1O[C@@H]2[C@@]3(C1)C(=O)O[C@H]1[C@]3([C@](C2)(O)C(C)(C)C)[C@@H](O)C(=O)O1</x:v>
      </x:c>
      <x:c r="G44" s="98" t="str">
        <x:v>Both SMILES resolved to PubChem CID 73581 by PUG REST fastidentity (2026-07-14)</x:v>
      </x:c>
      <x:c r="H44" s="96" t="str">
        <x:v>P23415</x:v>
      </x:c>
      <x:c r="I44" s="98" t="str">
        <x:v>Glycine receptor subunit alpha-1 (Glycine receptor 48 kDa subunit) (Glycine receptor strychnine-binding subunit)</x:v>
      </x:c>
      <x:c r="J44" s="98" t="str">
        <x:v>Ligand-gated ion channel (TC 1.A.9) family, Glycine receptor (TC 1.A.9.3) subfamily, GLRA1 sub-subfamily</x:v>
      </x:c>
      <x:c r="K44" s="96" t="str">
        <x:v>GLRA1</x:v>
      </x:c>
      <x:c r="L44" s="96" t="str">
        <x:v>2741;</x:v>
      </x:c>
      <x:c r="M44" s="96" t="str">
        <x:v>2741</x:v>
      </x:c>
      <x:c r="N44" s="96" t="str">
        <x:v>Homo sapiens (Human)</x:v>
      </x:c>
      <x:c r="O44" s="100" t="n">
        <x:v>9606</x:v>
      </x:c>
      <x:c r="P44" s="99" t="n">
        <x:v>0.81402</x:v>
      </x:c>
      <x:c r="Q44" s="96" t="str">
        <x:v>43</x:v>
      </x:c>
      <x:c r="R44" s="100" t="n">
        <x:v>43</x:v>
      </x:c>
      <x:c r="S44" s="96" t="str">
        <x:v>NetInfer_Prediction</x:v>
      </x:c>
      <x:c r="T44" s="97" t="b">
        <x:v>1</x:v>
      </x:c>
      <x:c r="U44" s="96" t="str">
        <x:v>Rank21_50_extended</x:v>
      </x:c>
      <x:c r="V44" s="96" t="str">
        <x:v>prediction_only</x:v>
      </x:c>
      <x:c r="W44" s="98" t="str">
        <x:v>Include_as_NetInfer_prediction</x:v>
      </x:c>
      <x:c r="X44" s="98" t="str">
        <x:v>wSDTNBI ranking score; not probability, confidence, affinity, or IC50</x:v>
      </x:c>
      <x:c r="Y44" s="98" t="str"/>
      <x:c r="Z44" s="96" t="str">
        <x:v>wSDTNBI</x:v>
      </x:c>
      <x:c r="AA44" s="98" t="str">
        <x:v>Global DTI network (version 2020)</x:v>
      </x:c>
      <x:c r="AB44" s="98" t="str">
        <x:v>Morgan fingerprint, FCFP_4-like (radius=2, useFeatures=True)</x:v>
      </x:c>
      <x:c r="AC44" s="101" t="n">
        <x:v>0.4</x:v>
      </x:c>
      <x:c r="AD44" s="101" t="n">
        <x:v>0.2</x:v>
      </x:c>
      <x:c r="AE44" s="101" t="n">
        <x:v>-0.5</x:v>
      </x:c>
      <x:c r="AF44" s="101" t="n">
        <x:v>20</x:v>
      </x:c>
      <x:c r="AG44" s="101" t="n">
        <x:v>4</x:v>
      </x:c>
      <x:c r="AH44" s="101" t="n">
        <x:v>2</x:v>
      </x:c>
      <x:c r="AI44" s="96" t="n">
        <x:v>50</x:v>
      </x:c>
    </x:row>
    <x:row r="45" ht="24" hidden="0" customHeight="1">
      <x:c r="A45" s="96" t="n">
        <x:v>44</x:v>
      </x:c>
      <x:c r="B45" s="96" t="str">
        <x:v>1</x:v>
      </x:c>
      <x:c r="C45" s="96" t="str">
        <x:v>Bilobalide</x:v>
      </x:c>
      <x:c r="D45" s="96" t="n">
        <x:v>73581</x:v>
      </x:c>
      <x:c r="E45" s="98" t="str">
        <x:v>CC(C)(C)[C@@]1(C[C@H]2[C@@]3([C@]14[C@H](C(=O)O[C@H]4OC3=O)O)CC(=O)O2)O</x:v>
      </x:c>
      <x:c r="F45" s="98" t="str">
        <x:v>O=C1O[C@@H]2[C@@]3(C1)C(=O)O[C@H]1[C@]3([C@](C2)(O)C(C)(C)C)[C@@H](O)C(=O)O1</x:v>
      </x:c>
      <x:c r="G45" s="98" t="str">
        <x:v>Both SMILES resolved to PubChem CID 73581 by PUG REST fastidentity (2026-07-14)</x:v>
      </x:c>
      <x:c r="H45" s="96" t="str">
        <x:v>O75688</x:v>
      </x:c>
      <x:c r="I45" s="98" t="str">
        <x:v>Protein phosphatase 1B (EC 3.1.3.16) (Protein phosphatase 2C isoform beta) (PP2C-beta)</x:v>
      </x:c>
      <x:c r="J45" s="98" t="str">
        <x:v>PP2C family</x:v>
      </x:c>
      <x:c r="K45" s="96" t="str">
        <x:v>PPM1B</x:v>
      </x:c>
      <x:c r="L45" s="96" t="str">
        <x:v>5495;</x:v>
      </x:c>
      <x:c r="M45" s="96" t="str">
        <x:v>5495</x:v>
      </x:c>
      <x:c r="N45" s="96" t="str">
        <x:v>Homo sapiens (Human)</x:v>
      </x:c>
      <x:c r="O45" s="100" t="n">
        <x:v>9606</x:v>
      </x:c>
      <x:c r="P45" s="99" t="n">
        <x:v>0.810353</x:v>
      </x:c>
      <x:c r="Q45" s="96" t="str">
        <x:v>44</x:v>
      </x:c>
      <x:c r="R45" s="100" t="n">
        <x:v>44</x:v>
      </x:c>
      <x:c r="S45" s="96" t="str">
        <x:v>NetInfer_Prediction</x:v>
      </x:c>
      <x:c r="T45" s="97" t="b">
        <x:v>1</x:v>
      </x:c>
      <x:c r="U45" s="96" t="str">
        <x:v>Rank21_50_extended</x:v>
      </x:c>
      <x:c r="V45" s="96" t="str">
        <x:v>prediction_only</x:v>
      </x:c>
      <x:c r="W45" s="98" t="str">
        <x:v>Include_as_NetInfer_prediction</x:v>
      </x:c>
      <x:c r="X45" s="98" t="str">
        <x:v>wSDTNBI ranking score; not probability, confidence, affinity, or IC50</x:v>
      </x:c>
      <x:c r="Y45" s="98" t="str"/>
      <x:c r="Z45" s="96" t="str">
        <x:v>wSDTNBI</x:v>
      </x:c>
      <x:c r="AA45" s="98" t="str">
        <x:v>Global DTI network (version 2020)</x:v>
      </x:c>
      <x:c r="AB45" s="98" t="str">
        <x:v>Morgan fingerprint, FCFP_4-like (radius=2, useFeatures=True)</x:v>
      </x:c>
      <x:c r="AC45" s="101" t="n">
        <x:v>0.4</x:v>
      </x:c>
      <x:c r="AD45" s="101" t="n">
        <x:v>0.2</x:v>
      </x:c>
      <x:c r="AE45" s="101" t="n">
        <x:v>-0.5</x:v>
      </x:c>
      <x:c r="AF45" s="101" t="n">
        <x:v>20</x:v>
      </x:c>
      <x:c r="AG45" s="101" t="n">
        <x:v>4</x:v>
      </x:c>
      <x:c r="AH45" s="101" t="n">
        <x:v>2</x:v>
      </x:c>
      <x:c r="AI45" s="96" t="n">
        <x:v>50</x:v>
      </x:c>
    </x:row>
    <x:row r="46" ht="24" hidden="0" customHeight="1">
      <x:c r="A46" s="96" t="n">
        <x:v>45</x:v>
      </x:c>
      <x:c r="B46" s="96" t="str">
        <x:v>1</x:v>
      </x:c>
      <x:c r="C46" s="96" t="str">
        <x:v>Bilobalide</x:v>
      </x:c>
      <x:c r="D46" s="96" t="n">
        <x:v>73581</x:v>
      </x:c>
      <x:c r="E46" s="98" t="str">
        <x:v>CC(C)(C)[C@@]1(C[C@H]2[C@@]3([C@]14[C@H](C(=O)O[C@H]4OC3=O)O)CC(=O)O2)O</x:v>
      </x:c>
      <x:c r="F46" s="98" t="str">
        <x:v>O=C1O[C@@H]2[C@@]3(C1)C(=O)O[C@H]1[C@]3([C@](C2)(O)C(C)(C)C)[C@@H](O)C(=O)O1</x:v>
      </x:c>
      <x:c r="G46" s="98" t="str">
        <x:v>Both SMILES resolved to PubChem CID 73581 by PUG REST fastidentity (2026-07-14)</x:v>
      </x:c>
      <x:c r="H46" s="96" t="str">
        <x:v>P21917</x:v>
      </x:c>
      <x:c r="I46" s="98" t="str">
        <x:v>D(4) dopamine receptor (D(2C) dopamine receptor) (Dopamine D4 receptor)</x:v>
      </x:c>
      <x:c r="J46" s="98" t="str">
        <x:v>G-protein coupled receptor 1 family</x:v>
      </x:c>
      <x:c r="K46" s="96" t="str">
        <x:v>DRD4</x:v>
      </x:c>
      <x:c r="L46" s="96" t="str">
        <x:v>1815;</x:v>
      </x:c>
      <x:c r="M46" s="96" t="str">
        <x:v>1815</x:v>
      </x:c>
      <x:c r="N46" s="96" t="str">
        <x:v>Homo sapiens (Human)</x:v>
      </x:c>
      <x:c r="O46" s="100" t="n">
        <x:v>9606</x:v>
      </x:c>
      <x:c r="P46" s="99" t="n">
        <x:v>0.806715</x:v>
      </x:c>
      <x:c r="Q46" s="96" t="str">
        <x:v>45</x:v>
      </x:c>
      <x:c r="R46" s="100" t="n">
        <x:v>45</x:v>
      </x:c>
      <x:c r="S46" s="96" t="str">
        <x:v>NetInfer_Prediction</x:v>
      </x:c>
      <x:c r="T46" s="97" t="b">
        <x:v>1</x:v>
      </x:c>
      <x:c r="U46" s="96" t="str">
        <x:v>Rank21_50_extended</x:v>
      </x:c>
      <x:c r="V46" s="96" t="str">
        <x:v>prediction_only</x:v>
      </x:c>
      <x:c r="W46" s="98" t="str">
        <x:v>Include_as_NetInfer_prediction</x:v>
      </x:c>
      <x:c r="X46" s="98" t="str">
        <x:v>wSDTNBI ranking score; not probability, confidence, affinity, or IC50</x:v>
      </x:c>
      <x:c r="Y46" s="98" t="str"/>
      <x:c r="Z46" s="96" t="str">
        <x:v>wSDTNBI</x:v>
      </x:c>
      <x:c r="AA46" s="98" t="str">
        <x:v>Global DTI network (version 2020)</x:v>
      </x:c>
      <x:c r="AB46" s="98" t="str">
        <x:v>Morgan fingerprint, FCFP_4-like (radius=2, useFeatures=True)</x:v>
      </x:c>
      <x:c r="AC46" s="101" t="n">
        <x:v>0.4</x:v>
      </x:c>
      <x:c r="AD46" s="101" t="n">
        <x:v>0.2</x:v>
      </x:c>
      <x:c r="AE46" s="101" t="n">
        <x:v>-0.5</x:v>
      </x:c>
      <x:c r="AF46" s="101" t="n">
        <x:v>20</x:v>
      </x:c>
      <x:c r="AG46" s="101" t="n">
        <x:v>4</x:v>
      </x:c>
      <x:c r="AH46" s="101" t="n">
        <x:v>2</x:v>
      </x:c>
      <x:c r="AI46" s="96" t="n">
        <x:v>50</x:v>
      </x:c>
    </x:row>
    <x:row r="47" ht="24" hidden="0" customHeight="1">
      <x:c r="A47" s="96" t="n">
        <x:v>46</x:v>
      </x:c>
      <x:c r="B47" s="96" t="str">
        <x:v>1</x:v>
      </x:c>
      <x:c r="C47" s="96" t="str">
        <x:v>Bilobalide</x:v>
      </x:c>
      <x:c r="D47" s="96" t="n">
        <x:v>73581</x:v>
      </x:c>
      <x:c r="E47" s="98" t="str">
        <x:v>CC(C)(C)[C@@]1(C[C@H]2[C@@]3([C@]14[C@H](C(=O)O[C@H]4OC3=O)O)CC(=O)O2)O</x:v>
      </x:c>
      <x:c r="F47" s="98" t="str">
        <x:v>O=C1O[C@@H]2[C@@]3(C1)C(=O)O[C@H]1[C@]3([C@](C2)(O)C(C)(C)C)[C@@H](O)C(=O)O1</x:v>
      </x:c>
      <x:c r="G47" s="98" t="str">
        <x:v>Both SMILES resolved to PubChem CID 73581 by PUG REST fastidentity (2026-07-14)</x:v>
      </x:c>
      <x:c r="H47" s="96" t="str">
        <x:v>P04150</x:v>
      </x:c>
      <x:c r="I47" s="98" t="str">
        <x:v>Glucocorticoid receptor (GR) (Nuclear receptor subfamily 3 group C member 1)</x:v>
      </x:c>
      <x:c r="J47" s="98" t="str">
        <x:v>Nuclear hormone receptor family, NR3 subfamily</x:v>
      </x:c>
      <x:c r="K47" s="96" t="str">
        <x:v>NR3C1</x:v>
      </x:c>
      <x:c r="L47" s="96" t="str">
        <x:v>2908;</x:v>
      </x:c>
      <x:c r="M47" s="96" t="str">
        <x:v>2908</x:v>
      </x:c>
      <x:c r="N47" s="96" t="str">
        <x:v>Homo sapiens (Human)</x:v>
      </x:c>
      <x:c r="O47" s="100" t="n">
        <x:v>9606</x:v>
      </x:c>
      <x:c r="P47" s="99" t="n">
        <x:v>0.804871</x:v>
      </x:c>
      <x:c r="Q47" s="96" t="str">
        <x:v>46</x:v>
      </x:c>
      <x:c r="R47" s="100" t="n">
        <x:v>46</x:v>
      </x:c>
      <x:c r="S47" s="96" t="str">
        <x:v>NetInfer_Prediction</x:v>
      </x:c>
      <x:c r="T47" s="97" t="b">
        <x:v>1</x:v>
      </x:c>
      <x:c r="U47" s="96" t="str">
        <x:v>Rank21_50_extended</x:v>
      </x:c>
      <x:c r="V47" s="96" t="str">
        <x:v>prediction_only</x:v>
      </x:c>
      <x:c r="W47" s="98" t="str">
        <x:v>Include_as_NetInfer_prediction</x:v>
      </x:c>
      <x:c r="X47" s="98" t="str">
        <x:v>wSDTNBI ranking score; not probability, confidence, affinity, or IC50</x:v>
      </x:c>
      <x:c r="Y47" s="98" t="str"/>
      <x:c r="Z47" s="96" t="str">
        <x:v>wSDTNBI</x:v>
      </x:c>
      <x:c r="AA47" s="98" t="str">
        <x:v>Global DTI network (version 2020)</x:v>
      </x:c>
      <x:c r="AB47" s="98" t="str">
        <x:v>Morgan fingerprint, FCFP_4-like (radius=2, useFeatures=True)</x:v>
      </x:c>
      <x:c r="AC47" s="101" t="n">
        <x:v>0.4</x:v>
      </x:c>
      <x:c r="AD47" s="101" t="n">
        <x:v>0.2</x:v>
      </x:c>
      <x:c r="AE47" s="101" t="n">
        <x:v>-0.5</x:v>
      </x:c>
      <x:c r="AF47" s="101" t="n">
        <x:v>20</x:v>
      </x:c>
      <x:c r="AG47" s="101" t="n">
        <x:v>4</x:v>
      </x:c>
      <x:c r="AH47" s="101" t="n">
        <x:v>2</x:v>
      </x:c>
      <x:c r="AI47" s="96" t="n">
        <x:v>50</x:v>
      </x:c>
    </x:row>
    <x:row r="48" ht="24" hidden="0" customHeight="1">
      <x:c r="A48" s="96" t="n">
        <x:v>47</x:v>
      </x:c>
      <x:c r="B48" s="96" t="str">
        <x:v>1</x:v>
      </x:c>
      <x:c r="C48" s="96" t="str">
        <x:v>Bilobalide</x:v>
      </x:c>
      <x:c r="D48" s="96" t="n">
        <x:v>73581</x:v>
      </x:c>
      <x:c r="E48" s="98" t="str">
        <x:v>CC(C)(C)[C@@]1(C[C@H]2[C@@]3([C@]14[C@H](C(=O)O[C@H]4OC3=O)O)CC(=O)O2)O</x:v>
      </x:c>
      <x:c r="F48" s="98" t="str">
        <x:v>O=C1O[C@@H]2[C@@]3(C1)C(=O)O[C@H]1[C@]3([C@](C2)(O)C(C)(C)C)[C@@H](O)C(=O)O1</x:v>
      </x:c>
      <x:c r="G48" s="98" t="str">
        <x:v>Both SMILES resolved to PubChem CID 73581 by PUG REST fastidentity (2026-07-14)</x:v>
      </x:c>
      <x:c r="H48" s="96" t="str">
        <x:v>P43088</x:v>
      </x:c>
      <x:c r="I48" s="98" t="str">
        <x:v>Prostaglandin F2-alpha receptor (PGF receptor) (PGF2-alpha receptor) (Prostanoid FP receptor)</x:v>
      </x:c>
      <x:c r="J48" s="98" t="str">
        <x:v>G-protein coupled receptor 1 family</x:v>
      </x:c>
      <x:c r="K48" s="96" t="str">
        <x:v>PTGFR</x:v>
      </x:c>
      <x:c r="L48" s="96" t="str">
        <x:v>5737;</x:v>
      </x:c>
      <x:c r="M48" s="96" t="str">
        <x:v>5737</x:v>
      </x:c>
      <x:c r="N48" s="96" t="str">
        <x:v>Homo sapiens (Human)</x:v>
      </x:c>
      <x:c r="O48" s="100" t="n">
        <x:v>9606</x:v>
      </x:c>
      <x:c r="P48" s="99" t="n">
        <x:v>0.787381</x:v>
      </x:c>
      <x:c r="Q48" s="96" t="str">
        <x:v>47</x:v>
      </x:c>
      <x:c r="R48" s="100" t="n">
        <x:v>47</x:v>
      </x:c>
      <x:c r="S48" s="96" t="str">
        <x:v>NetInfer_Prediction</x:v>
      </x:c>
      <x:c r="T48" s="97" t="b">
        <x:v>1</x:v>
      </x:c>
      <x:c r="U48" s="96" t="str">
        <x:v>Rank21_50_extended</x:v>
      </x:c>
      <x:c r="V48" s="96" t="str">
        <x:v>prediction_only</x:v>
      </x:c>
      <x:c r="W48" s="98" t="str">
        <x:v>Include_as_NetInfer_prediction</x:v>
      </x:c>
      <x:c r="X48" s="98" t="str">
        <x:v>wSDTNBI ranking score; not probability, confidence, affinity, or IC50</x:v>
      </x:c>
      <x:c r="Y48" s="98" t="str"/>
      <x:c r="Z48" s="96" t="str">
        <x:v>wSDTNBI</x:v>
      </x:c>
      <x:c r="AA48" s="98" t="str">
        <x:v>Global DTI network (version 2020)</x:v>
      </x:c>
      <x:c r="AB48" s="98" t="str">
        <x:v>Morgan fingerprint, FCFP_4-like (radius=2, useFeatures=True)</x:v>
      </x:c>
      <x:c r="AC48" s="101" t="n">
        <x:v>0.4</x:v>
      </x:c>
      <x:c r="AD48" s="101" t="n">
        <x:v>0.2</x:v>
      </x:c>
      <x:c r="AE48" s="101" t="n">
        <x:v>-0.5</x:v>
      </x:c>
      <x:c r="AF48" s="101" t="n">
        <x:v>20</x:v>
      </x:c>
      <x:c r="AG48" s="101" t="n">
        <x:v>4</x:v>
      </x:c>
      <x:c r="AH48" s="101" t="n">
        <x:v>2</x:v>
      </x:c>
      <x:c r="AI48" s="96" t="n">
        <x:v>50</x:v>
      </x:c>
    </x:row>
    <x:row r="49" ht="36" hidden="0" customHeight="1">
      <x:c r="A49" s="96" t="n">
        <x:v>48</x:v>
      </x:c>
      <x:c r="B49" s="96" t="str">
        <x:v>1</x:v>
      </x:c>
      <x:c r="C49" s="96" t="str">
        <x:v>Bilobalide</x:v>
      </x:c>
      <x:c r="D49" s="96" t="n">
        <x:v>73581</x:v>
      </x:c>
      <x:c r="E49" s="98" t="str">
        <x:v>CC(C)(C)[C@@]1(C[C@H]2[C@@]3([C@]14[C@H](C(=O)O[C@H]4OC3=O)O)CC(=O)O2)O</x:v>
      </x:c>
      <x:c r="F49" s="98" t="str">
        <x:v>O=C1O[C@@H]2[C@@]3(C1)C(=O)O[C@H]1[C@]3([C@](C2)(O)C(C)(C)C)[C@@H](O)C(=O)O1</x:v>
      </x:c>
      <x:c r="G49" s="98" t="str">
        <x:v>Both SMILES resolved to PubChem CID 73581 by PUG REST fastidentity (2026-07-14)</x:v>
      </x:c>
      <x:c r="H49" s="96" t="str">
        <x:v>Q99720</x:v>
      </x:c>
      <x:c r="I49" s="98" t="str">
        <x:v>Sigma non-opioid intracellular receptor 1 (Aging-associated gene 8 protein) (SR31747-binding protein) (SR-BP) (Sigma 1-type opioid receptor) (SIG-1R) (Sigma1-receptor) (Sigma1R) (hSigmaR1)</x:v>
      </x:c>
      <x:c r="J49" s="98" t="str">
        <x:v>ERG2 family</x:v>
      </x:c>
      <x:c r="K49" s="96" t="str">
        <x:v>SIGMAR1</x:v>
      </x:c>
      <x:c r="L49" s="96" t="str">
        <x:v>10280;</x:v>
      </x:c>
      <x:c r="M49" s="96" t="str">
        <x:v>10280</x:v>
      </x:c>
      <x:c r="N49" s="96" t="str">
        <x:v>Homo sapiens (Human)</x:v>
      </x:c>
      <x:c r="O49" s="100" t="n">
        <x:v>9606</x:v>
      </x:c>
      <x:c r="P49" s="99" t="n">
        <x:v>0.760891</x:v>
      </x:c>
      <x:c r="Q49" s="96" t="str">
        <x:v>48</x:v>
      </x:c>
      <x:c r="R49" s="100" t="n">
        <x:v>48</x:v>
      </x:c>
      <x:c r="S49" s="96" t="str">
        <x:v>NetInfer_Prediction</x:v>
      </x:c>
      <x:c r="T49" s="97" t="b">
        <x:v>1</x:v>
      </x:c>
      <x:c r="U49" s="96" t="str">
        <x:v>Rank21_50_extended</x:v>
      </x:c>
      <x:c r="V49" s="96" t="str">
        <x:v>prediction_only</x:v>
      </x:c>
      <x:c r="W49" s="98" t="str">
        <x:v>Include_as_NetInfer_prediction</x:v>
      </x:c>
      <x:c r="X49" s="98" t="str">
        <x:v>wSDTNBI ranking score; not probability, confidence, affinity, or IC50</x:v>
      </x:c>
      <x:c r="Y49" s="98" t="str"/>
      <x:c r="Z49" s="96" t="str">
        <x:v>wSDTNBI</x:v>
      </x:c>
      <x:c r="AA49" s="98" t="str">
        <x:v>Global DTI network (version 2020)</x:v>
      </x:c>
      <x:c r="AB49" s="98" t="str">
        <x:v>Morgan fingerprint, FCFP_4-like (radius=2, useFeatures=True)</x:v>
      </x:c>
      <x:c r="AC49" s="101" t="n">
        <x:v>0.4</x:v>
      </x:c>
      <x:c r="AD49" s="101" t="n">
        <x:v>0.2</x:v>
      </x:c>
      <x:c r="AE49" s="101" t="n">
        <x:v>-0.5</x:v>
      </x:c>
      <x:c r="AF49" s="101" t="n">
        <x:v>20</x:v>
      </x:c>
      <x:c r="AG49" s="101" t="n">
        <x:v>4</x:v>
      </x:c>
      <x:c r="AH49" s="101" t="n">
        <x:v>2</x:v>
      </x:c>
      <x:c r="AI49" s="96" t="n">
        <x:v>50</x:v>
      </x:c>
    </x:row>
    <x:row r="50" ht="24" hidden="0" customHeight="1">
      <x:c r="A50" s="96" t="n">
        <x:v>49</x:v>
      </x:c>
      <x:c r="B50" s="96" t="str">
        <x:v>1</x:v>
      </x:c>
      <x:c r="C50" s="96" t="str">
        <x:v>Bilobalide</x:v>
      </x:c>
      <x:c r="D50" s="96" t="n">
        <x:v>73581</x:v>
      </x:c>
      <x:c r="E50" s="98" t="str">
        <x:v>CC(C)(C)[C@@]1(C[C@H]2[C@@]3([C@]14[C@H](C(=O)O[C@H]4OC3=O)O)CC(=O)O2)O</x:v>
      </x:c>
      <x:c r="F50" s="98" t="str">
        <x:v>O=C1O[C@@H]2[C@@]3(C1)C(=O)O[C@H]1[C@]3([C@](C2)(O)C(C)(C)C)[C@@H](O)C(=O)O1</x:v>
      </x:c>
      <x:c r="G50" s="98" t="str">
        <x:v>Both SMILES resolved to PubChem CID 73581 by PUG REST fastidentity (2026-07-14)</x:v>
      </x:c>
      <x:c r="H50" s="96" t="str">
        <x:v>P21918</x:v>
      </x:c>
      <x:c r="I50" s="98" t="str">
        <x:v>D(1B) dopamine receptor (D(5) dopamine receptor) (D1beta dopamine receptor) (Dopamine D5 receptor)</x:v>
      </x:c>
      <x:c r="J50" s="98" t="str">
        <x:v>G-protein coupled receptor 1 family</x:v>
      </x:c>
      <x:c r="K50" s="96" t="str">
        <x:v>DRD5</x:v>
      </x:c>
      <x:c r="L50" s="96" t="str">
        <x:v>1816;</x:v>
      </x:c>
      <x:c r="M50" s="96" t="str">
        <x:v>1816</x:v>
      </x:c>
      <x:c r="N50" s="96" t="str">
        <x:v>Homo sapiens (Human)</x:v>
      </x:c>
      <x:c r="O50" s="100" t="n">
        <x:v>9606</x:v>
      </x:c>
      <x:c r="P50" s="99" t="n">
        <x:v>0.752704</x:v>
      </x:c>
      <x:c r="Q50" s="96" t="str">
        <x:v>49</x:v>
      </x:c>
      <x:c r="R50" s="100" t="n">
        <x:v>49</x:v>
      </x:c>
      <x:c r="S50" s="96" t="str">
        <x:v>NetInfer_Prediction</x:v>
      </x:c>
      <x:c r="T50" s="97" t="b">
        <x:v>1</x:v>
      </x:c>
      <x:c r="U50" s="96" t="str">
        <x:v>Rank21_50_extended</x:v>
      </x:c>
      <x:c r="V50" s="96" t="str">
        <x:v>prediction_only</x:v>
      </x:c>
      <x:c r="W50" s="98" t="str">
        <x:v>Include_as_NetInfer_prediction</x:v>
      </x:c>
      <x:c r="X50" s="98" t="str">
        <x:v>wSDTNBI ranking score; not probability, confidence, affinity, or IC50</x:v>
      </x:c>
      <x:c r="Y50" s="98" t="str"/>
      <x:c r="Z50" s="96" t="str">
        <x:v>wSDTNBI</x:v>
      </x:c>
      <x:c r="AA50" s="98" t="str">
        <x:v>Global DTI network (version 2020)</x:v>
      </x:c>
      <x:c r="AB50" s="98" t="str">
        <x:v>Morgan fingerprint, FCFP_4-like (radius=2, useFeatures=True)</x:v>
      </x:c>
      <x:c r="AC50" s="101" t="n">
        <x:v>0.4</x:v>
      </x:c>
      <x:c r="AD50" s="101" t="n">
        <x:v>0.2</x:v>
      </x:c>
      <x:c r="AE50" s="101" t="n">
        <x:v>-0.5</x:v>
      </x:c>
      <x:c r="AF50" s="101" t="n">
        <x:v>20</x:v>
      </x:c>
      <x:c r="AG50" s="101" t="n">
        <x:v>4</x:v>
      </x:c>
      <x:c r="AH50" s="101" t="n">
        <x:v>2</x:v>
      </x:c>
      <x:c r="AI50" s="96" t="n">
        <x:v>50</x:v>
      </x:c>
    </x:row>
    <x:row r="51" ht="24" hidden="0" customHeight="1">
      <x:c r="A51" s="96" t="n">
        <x:v>50</x:v>
      </x:c>
      <x:c r="B51" s="96" t="str">
        <x:v>1</x:v>
      </x:c>
      <x:c r="C51" s="96" t="str">
        <x:v>Bilobalide</x:v>
      </x:c>
      <x:c r="D51" s="96" t="n">
        <x:v>73581</x:v>
      </x:c>
      <x:c r="E51" s="98" t="str">
        <x:v>CC(C)(C)[C@@]1(C[C@H]2[C@@]3([C@]14[C@H](C(=O)O[C@H]4OC3=O)O)CC(=O)O2)O</x:v>
      </x:c>
      <x:c r="F51" s="98" t="str">
        <x:v>O=C1O[C@@H]2[C@@]3(C1)C(=O)O[C@H]1[C@]3([C@](C2)(O)C(C)(C)C)[C@@H](O)C(=O)O1</x:v>
      </x:c>
      <x:c r="G51" s="98" t="str">
        <x:v>Both SMILES resolved to PubChem CID 73581 by PUG REST fastidentity (2026-07-14)</x:v>
      </x:c>
      <x:c r="H51" s="96" t="str">
        <x:v>P29274</x:v>
      </x:c>
      <x:c r="I51" s="98" t="str">
        <x:v>Adenosine receptor A2a</x:v>
      </x:c>
      <x:c r="J51" s="98" t="str">
        <x:v>G-protein coupled receptor 1 family</x:v>
      </x:c>
      <x:c r="K51" s="96" t="str">
        <x:v>ADORA2A</x:v>
      </x:c>
      <x:c r="L51" s="96" t="str">
        <x:v>135;</x:v>
      </x:c>
      <x:c r="M51" s="96" t="str">
        <x:v>135</x:v>
      </x:c>
      <x:c r="N51" s="96" t="str">
        <x:v>Homo sapiens (Human)</x:v>
      </x:c>
      <x:c r="O51" s="100" t="n">
        <x:v>9606</x:v>
      </x:c>
      <x:c r="P51" s="99" t="n">
        <x:v>0.752609</x:v>
      </x:c>
      <x:c r="Q51" s="96" t="str">
        <x:v>50</x:v>
      </x:c>
      <x:c r="R51" s="100" t="n">
        <x:v>50</x:v>
      </x:c>
      <x:c r="S51" s="96" t="str">
        <x:v>NetInfer_Prediction</x:v>
      </x:c>
      <x:c r="T51" s="97" t="b">
        <x:v>1</x:v>
      </x:c>
      <x:c r="U51" s="96" t="str">
        <x:v>Rank21_50_extended</x:v>
      </x:c>
      <x:c r="V51" s="96" t="str">
        <x:v>prediction_only</x:v>
      </x:c>
      <x:c r="W51" s="98" t="str">
        <x:v>Include_as_NetInfer_prediction</x:v>
      </x:c>
      <x:c r="X51" s="98" t="str">
        <x:v>wSDTNBI ranking score; not probability, confidence, affinity, or IC50</x:v>
      </x:c>
      <x:c r="Y51" s="98" t="str"/>
      <x:c r="Z51" s="96" t="str">
        <x:v>wSDTNBI</x:v>
      </x:c>
      <x:c r="AA51" s="98" t="str">
        <x:v>Global DTI network (version 2020)</x:v>
      </x:c>
      <x:c r="AB51" s="98" t="str">
        <x:v>Morgan fingerprint, FCFP_4-like (radius=2, useFeatures=True)</x:v>
      </x:c>
      <x:c r="AC51" s="101" t="n">
        <x:v>0.4</x:v>
      </x:c>
      <x:c r="AD51" s="101" t="n">
        <x:v>0.2</x:v>
      </x:c>
      <x:c r="AE51" s="101" t="n">
        <x:v>-0.5</x:v>
      </x:c>
      <x:c r="AF51" s="101" t="n">
        <x:v>20</x:v>
      </x:c>
      <x:c r="AG51" s="101" t="n">
        <x:v>4</x:v>
      </x:c>
      <x:c r="AH51" s="101" t="n">
        <x:v>2</x:v>
      </x:c>
      <x:c r="AI51" s="96" t="n">
        <x:v>50</x:v>
      </x:c>
    </x:row>
    <x:row r="52" ht="24" hidden="0" customHeight="1">
      <x:c r="A52" s="96" t="n">
        <x:v>51</x:v>
      </x:c>
      <x:c r="B52" s="96" t="str">
        <x:v>1</x:v>
      </x:c>
      <x:c r="C52" s="96" t="str">
        <x:v>Bilobalide</x:v>
      </x:c>
      <x:c r="D52" s="96" t="n">
        <x:v>73581</x:v>
      </x:c>
      <x:c r="E52" s="98" t="str">
        <x:v>CC(C)(C)[C@@]1(C[C@H]2[C@@]3([C@]14[C@H](C(=O)O[C@H]4OC3=O)O)CC(=O)O2)O</x:v>
      </x:c>
      <x:c r="F52" s="98" t="str">
        <x:v>O=C1O[C@@H]2[C@@]3(C1)C(=O)O[C@H]1[C@]3([C@](C2)(O)C(C)(C)C)[C@@H](O)C(=O)O1</x:v>
      </x:c>
      <x:c r="G52" s="98" t="str">
        <x:v>Both SMILES resolved to PubChem CID 73581 by PUG REST fastidentity (2026-07-14)</x:v>
      </x:c>
      <x:c r="H52" s="96" t="str">
        <x:v>P23416</x:v>
      </x:c>
      <x:c r="I52" s="98" t="str">
        <x:v>Glycine receptor subunit alpha-2</x:v>
      </x:c>
      <x:c r="J52" s="98" t="str">
        <x:v>Ligand-gated ion channel (TC 1.A.9) family, Glycine receptor (TC 1.A.9.3) subfamily, GLRA2 sub-subfamily</x:v>
      </x:c>
      <x:c r="K52" s="96" t="str">
        <x:v>GLRA2</x:v>
      </x:c>
      <x:c r="L52" s="96" t="str">
        <x:v>2742;</x:v>
      </x:c>
      <x:c r="M52" s="96" t="str">
        <x:v>2742</x:v>
      </x:c>
      <x:c r="N52" s="96" t="str">
        <x:v>Homo sapiens (Human)</x:v>
      </x:c>
      <x:c r="O52" s="100" t="n">
        <x:v>9606</x:v>
      </x:c>
      <x:c r="P52" s="99" t="n">
        <x:v>0.347287</x:v>
      </x:c>
      <x:c r="Q52" s="96" t="str">
        <x:v>Known</x:v>
      </x:c>
      <x:c r="R52" s="100" t="str"/>
      <x:c r="S52" s="96" t="str">
        <x:v>Known_Network_Reference</x:v>
      </x:c>
      <x:c r="T52" s="97" t="b">
        <x:v>0</x:v>
      </x:c>
      <x:c r="U52" s="96" t="str">
        <x:v>Known_reference</x:v>
      </x:c>
      <x:c r="V52" s="96" t="str">
        <x:v>platform_known_reference_not_new_prediction</x:v>
      </x:c>
      <x:c r="W52" s="98" t="str">
        <x:v>Exclude_from_NetInfer_prediction_merge; handle as separate known evidence</x:v>
      </x:c>
      <x:c r="X52" s="98" t="str">
        <x:v>wSDTNBI ranking score; not probability, confidence, affinity, or IC50</x:v>
      </x:c>
      <x:c r="Y52" s="98" t="str">
        <x:v>Platform-labeled Known; not Rank 51 and not part of Top50 prediction set</x:v>
      </x:c>
      <x:c r="Z52" s="96" t="str">
        <x:v>wSDTNBI</x:v>
      </x:c>
      <x:c r="AA52" s="98" t="str">
        <x:v>Global DTI network (version 2020)</x:v>
      </x:c>
      <x:c r="AB52" s="98" t="str">
        <x:v>Morgan fingerprint, FCFP_4-like (radius=2, useFeatures=True)</x:v>
      </x:c>
      <x:c r="AC52" s="101" t="n">
        <x:v>0.4</x:v>
      </x:c>
      <x:c r="AD52" s="101" t="n">
        <x:v>0.2</x:v>
      </x:c>
      <x:c r="AE52" s="101" t="n">
        <x:v>-0.5</x:v>
      </x:c>
      <x:c r="AF52" s="101" t="n">
        <x:v>20</x:v>
      </x:c>
      <x:c r="AG52" s="101" t="n">
        <x:v>4</x:v>
      </x:c>
      <x:c r="AH52" s="101" t="n">
        <x:v>2</x:v>
      </x:c>
      <x:c r="AI52" s="96" t="n">
        <x:v>50</x:v>
      </x:c>
    </x:row>
  </x:sheetData>
  <x:conditionalFormatting sqref="T2:T52">
    <x:cfRule type="cellIs" dxfId="0" priority="1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f830619f1347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7" hidden="0" customWidth="1"/>
    <x:col min="5" max="5" width="58" hidden="0" customWidth="1"/>
    <x:col min="6" max="6" width="43" hidden="0" customWidth="1"/>
    <x:col min="7" max="7" width="16" hidden="0" customWidth="1"/>
    <x:col min="8" max="8" width="23" hidden="0" customWidth="1"/>
    <x:col min="9" max="9" width="22" hidden="0" customWidth="1"/>
    <x:col min="10" max="10" width="10" hidden="0" customWidth="1"/>
    <x:col min="11" max="11" width="24" hidden="0" customWidth="1"/>
    <x:col min="12" max="12" width="46" hidden="0" customWidth="1"/>
  </x:cols>
  <x:sheetData>
    <x:row r="1" ht="34" customHeight="1">
      <x:c r="A1" s="91" t="str">
        <x:v>Prediction_Rank</x:v>
      </x:c>
      <x:c r="B1" s="92" t="str">
        <x:v>Gene_Symbol</x:v>
      </x:c>
      <x:c r="C1" s="92" t="str">
        <x:v>UniProt_Accession</x:v>
      </x:c>
      <x:c r="D1" s="92" t="str">
        <x:v>Entrez_Gene_ID</x:v>
      </x:c>
      <x:c r="E1" s="92" t="str">
        <x:v>Protein_Name</x:v>
      </x:c>
      <x:c r="F1" s="92" t="str">
        <x:v>Protein_Family</x:v>
      </x:c>
      <x:c r="G1" s="92" t="str">
        <x:v>NetInfer_Score</x:v>
      </x:c>
      <x:c r="H1" s="92" t="str">
        <x:v>Rank_Layer</x:v>
      </x:c>
      <x:c r="I1" s="92" t="str">
        <x:v>Organism</x:v>
      </x:c>
      <x:c r="J1" s="92" t="str">
        <x:v>Tax_ID</x:v>
      </x:c>
      <x:c r="K1" s="92" t="str">
        <x:v>Evidence_Status</x:v>
      </x:c>
      <x:c r="L1" s="93" t="str">
        <x:v>Recommendation_For_Merge</x:v>
      </x:c>
    </x:row>
    <x:row r="2" ht="15" hidden="0" customHeight="1">
      <x:c r="A2" s="100" t="n">
        <x:v>1</x:v>
      </x:c>
      <x:c r="B2" s="96" t="str">
        <x:v>PTAFR</x:v>
      </x:c>
      <x:c r="C2" s="96" t="str">
        <x:v>P25105</x:v>
      </x:c>
      <x:c r="D2" s="96" t="str">
        <x:v>5724</x:v>
      </x:c>
      <x:c r="E2" s="98" t="str">
        <x:v>Platelet-activating factor receptor (PAF-R) (PAFr)</x:v>
      </x:c>
      <x:c r="F2" s="98" t="str">
        <x:v>G-protein coupled receptor 1 family</x:v>
      </x:c>
      <x:c r="G2" s="99" t="n">
        <x:v>2.67584</x:v>
      </x:c>
      <x:c r="H2" s="96" t="str">
        <x:v>Top20_priority</x:v>
      </x:c>
      <x:c r="I2" s="96" t="str">
        <x:v>Homo sapiens (Human)</x:v>
      </x:c>
      <x:c r="J2" s="96" t="n">
        <x:v>9606</x:v>
      </x:c>
      <x:c r="K2" s="98" t="str">
        <x:v>prediction_only</x:v>
      </x:c>
      <x:c r="L2" s="98" t="str">
        <x:v>Include_as_NetInfer_prediction</x:v>
      </x:c>
    </x:row>
    <x:row r="3" ht="15" hidden="0" customHeight="1">
      <x:c r="A3" s="100" t="n">
        <x:v>2</x:v>
      </x:c>
      <x:c r="B3" s="96" t="str">
        <x:v>DRD3</x:v>
      </x:c>
      <x:c r="C3" s="96" t="str">
        <x:v>P35462</x:v>
      </x:c>
      <x:c r="D3" s="96" t="str">
        <x:v>1814</x:v>
      </x:c>
      <x:c r="E3" s="98" t="str">
        <x:v>D(3) dopamine receptor (Dopamine D3 receptor)</x:v>
      </x:c>
      <x:c r="F3" s="98" t="str">
        <x:v>G-protein coupled receptor 1 family</x:v>
      </x:c>
      <x:c r="G3" s="99" t="n">
        <x:v>2.58939</x:v>
      </x:c>
      <x:c r="H3" s="96" t="str">
        <x:v>Top20_priority</x:v>
      </x:c>
      <x:c r="I3" s="96" t="str">
        <x:v>Homo sapiens (Human)</x:v>
      </x:c>
      <x:c r="J3" s="96" t="n">
        <x:v>9606</x:v>
      </x:c>
      <x:c r="K3" s="98" t="str">
        <x:v>prediction_only</x:v>
      </x:c>
      <x:c r="L3" s="98" t="str">
        <x:v>Include_as_NetInfer_prediction</x:v>
      </x:c>
    </x:row>
    <x:row r="4" ht="24" hidden="0" customHeight="1">
      <x:c r="A4" s="100" t="n">
        <x:v>3</x:v>
      </x:c>
      <x:c r="B4" s="96" t="str">
        <x:v>CBX1</x:v>
      </x:c>
      <x:c r="C4" s="96" t="str">
        <x:v>P83916</x:v>
      </x:c>
      <x:c r="D4" s="96" t="str">
        <x:v>10951</x:v>
      </x:c>
      <x:c r="E4" s="98" t="str">
        <x:v>Chromobox protein homolog 1 (HP1Hsbeta) (Heterochromatin protein 1 homolog beta) (HP1 beta) (Heterochromatin protein p25) (M31) (Modifier 1 protein) (p25beta)</x:v>
      </x:c>
      <x:c r="F4" s="98" t="str">
        <x:v>NA</x:v>
      </x:c>
      <x:c r="G4" s="99" t="n">
        <x:v>2.46787</x:v>
      </x:c>
      <x:c r="H4" s="96" t="str">
        <x:v>Top20_priority</x:v>
      </x:c>
      <x:c r="I4" s="96" t="str">
        <x:v>Homo sapiens (Human)</x:v>
      </x:c>
      <x:c r="J4" s="96" t="n">
        <x:v>9606</x:v>
      </x:c>
      <x:c r="K4" s="98" t="str">
        <x:v>prediction_only</x:v>
      </x:c>
      <x:c r="L4" s="98" t="str">
        <x:v>Include_as_NetInfer_prediction</x:v>
      </x:c>
    </x:row>
    <x:row r="5" ht="15" hidden="0" customHeight="1">
      <x:c r="A5" s="100" t="n">
        <x:v>4</x:v>
      </x:c>
      <x:c r="B5" s="96" t="str">
        <x:v>OPRL1</x:v>
      </x:c>
      <x:c r="C5" s="96" t="str">
        <x:v>P41146</x:v>
      </x:c>
      <x:c r="D5" s="96" t="str">
        <x:v>4987</x:v>
      </x:c>
      <x:c r="E5" s="98" t="str">
        <x:v>Nociceptin receptor (Kappa-type 3 opioid receptor) (KOR-3) (Orphanin FQ receptor)</x:v>
      </x:c>
      <x:c r="F5" s="98" t="str">
        <x:v>G-protein coupled receptor 1 family</x:v>
      </x:c>
      <x:c r="G5" s="99" t="n">
        <x:v>2.20345</x:v>
      </x:c>
      <x:c r="H5" s="96" t="str">
        <x:v>Top20_priority</x:v>
      </x:c>
      <x:c r="I5" s="96" t="str">
        <x:v>Homo sapiens (Human)</x:v>
      </x:c>
      <x:c r="J5" s="96" t="n">
        <x:v>9606</x:v>
      </x:c>
      <x:c r="K5" s="98" t="str">
        <x:v>prediction_only</x:v>
      </x:c>
      <x:c r="L5" s="98" t="str">
        <x:v>Include_as_NetInfer_prediction</x:v>
      </x:c>
    </x:row>
    <x:row r="6" ht="15" hidden="0" customHeight="1">
      <x:c r="A6" s="100" t="n">
        <x:v>5</x:v>
      </x:c>
      <x:c r="B6" s="96" t="str">
        <x:v>GPR55</x:v>
      </x:c>
      <x:c r="C6" s="96" t="str">
        <x:v>Q9Y2T6</x:v>
      </x:c>
      <x:c r="D6" s="96" t="str">
        <x:v>9290</x:v>
      </x:c>
      <x:c r="E6" s="98" t="str">
        <x:v>G-protein coupled receptor 55</x:v>
      </x:c>
      <x:c r="F6" s="98" t="str">
        <x:v>G-protein coupled receptor 1 family</x:v>
      </x:c>
      <x:c r="G6" s="99" t="n">
        <x:v>2.18895</x:v>
      </x:c>
      <x:c r="H6" s="96" t="str">
        <x:v>Top20_priority</x:v>
      </x:c>
      <x:c r="I6" s="96" t="str">
        <x:v>Homo sapiens (Human)</x:v>
      </x:c>
      <x:c r="J6" s="96" t="n">
        <x:v>9606</x:v>
      </x:c>
      <x:c r="K6" s="98" t="str">
        <x:v>prediction_only</x:v>
      </x:c>
      <x:c r="L6" s="98" t="str">
        <x:v>Include_as_NetInfer_prediction</x:v>
      </x:c>
    </x:row>
    <x:row r="7" ht="24" hidden="0" customHeight="1">
      <x:c r="A7" s="100" t="n">
        <x:v>6</x:v>
      </x:c>
      <x:c r="B7" s="96" t="str">
        <x:v>OPRM1</x:v>
      </x:c>
      <x:c r="C7" s="96" t="str">
        <x:v>P35372</x:v>
      </x:c>
      <x:c r="D7" s="96" t="str">
        <x:v>4988</x:v>
      </x:c>
      <x:c r="E7" s="98" t="str">
        <x:v>Mu-type opioid receptor (M-OR-1) (MOR-1) (Mu opiate receptor) (Mu opioid receptor) (MOP) (hMOP)</x:v>
      </x:c>
      <x:c r="F7" s="98" t="str">
        <x:v>G-protein coupled receptor 1 family</x:v>
      </x:c>
      <x:c r="G7" s="99" t="n">
        <x:v>2.06027</x:v>
      </x:c>
      <x:c r="H7" s="96" t="str">
        <x:v>Top20_priority</x:v>
      </x:c>
      <x:c r="I7" s="96" t="str">
        <x:v>Homo sapiens (Human)</x:v>
      </x:c>
      <x:c r="J7" s="96" t="n">
        <x:v>9606</x:v>
      </x:c>
      <x:c r="K7" s="98" t="str">
        <x:v>prediction_only</x:v>
      </x:c>
      <x:c r="L7" s="98" t="str">
        <x:v>Include_as_NetInfer_prediction</x:v>
      </x:c>
    </x:row>
    <x:row r="8" ht="15" hidden="0" customHeight="1">
      <x:c r="A8" s="100" t="n">
        <x:v>7</x:v>
      </x:c>
      <x:c r="B8" s="96" t="str">
        <x:v>OPRK1</x:v>
      </x:c>
      <x:c r="C8" s="96" t="str">
        <x:v>P41145</x:v>
      </x:c>
      <x:c r="D8" s="96" t="str">
        <x:v>4986</x:v>
      </x:c>
      <x:c r="E8" s="98" t="str">
        <x:v>Kappa-type opioid receptor (K-OR-1) (KOR-1)</x:v>
      </x:c>
      <x:c r="F8" s="98" t="str">
        <x:v>G-protein coupled receptor 1 family</x:v>
      </x:c>
      <x:c r="G8" s="99" t="n">
        <x:v>1.89741</x:v>
      </x:c>
      <x:c r="H8" s="96" t="str">
        <x:v>Top20_priority</x:v>
      </x:c>
      <x:c r="I8" s="96" t="str">
        <x:v>Homo sapiens (Human)</x:v>
      </x:c>
      <x:c r="J8" s="96" t="n">
        <x:v>9606</x:v>
      </x:c>
      <x:c r="K8" s="98" t="str">
        <x:v>prediction_only</x:v>
      </x:c>
      <x:c r="L8" s="98" t="str">
        <x:v>Include_as_NetInfer_prediction</x:v>
      </x:c>
    </x:row>
    <x:row r="9" ht="24" hidden="0" customHeight="1">
      <x:c r="A9" s="100" t="n">
        <x:v>8</x:v>
      </x:c>
      <x:c r="B9" s="96" t="str">
        <x:v>AR</x:v>
      </x:c>
      <x:c r="C9" s="96" t="str">
        <x:v>P10275</x:v>
      </x:c>
      <x:c r="D9" s="96" t="str">
        <x:v>367</x:v>
      </x:c>
      <x:c r="E9" s="98" t="str">
        <x:v>Androgen receptor (Dihydrotestosterone receptor) (Nuclear receptor subfamily 3 group C member 4)</x:v>
      </x:c>
      <x:c r="F9" s="98" t="str">
        <x:v>Nuclear hormone receptor family, NR3 subfamily</x:v>
      </x:c>
      <x:c r="G9" s="99" t="n">
        <x:v>1.83044</x:v>
      </x:c>
      <x:c r="H9" s="96" t="str">
        <x:v>Top20_priority</x:v>
      </x:c>
      <x:c r="I9" s="96" t="str">
        <x:v>Homo sapiens (Human)</x:v>
      </x:c>
      <x:c r="J9" s="96" t="n">
        <x:v>9606</x:v>
      </x:c>
      <x:c r="K9" s="98" t="str">
        <x:v>prediction_only</x:v>
      </x:c>
      <x:c r="L9" s="98" t="str">
        <x:v>Include_as_NetInfer_prediction</x:v>
      </x:c>
    </x:row>
    <x:row r="10" ht="48" hidden="0" customHeight="1">
      <x:c r="A10" s="100" t="n">
        <x:v>9</x:v>
      </x:c>
      <x:c r="B10" s="96" t="str">
        <x:v>OGA</x:v>
      </x:c>
      <x:c r="C10" s="96" t="str">
        <x:v>O60502</x:v>
      </x:c>
      <x:c r="D10" s="96" t="str">
        <x:v>10724</x:v>
      </x:c>
      <x:c r="E10" s="98" t="str">
        <x:v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x:v>
      </x:c>
      <x:c r="F10" s="98" t="str">
        <x:v>Glycosyl hydrolase 84 family</x:v>
      </x:c>
      <x:c r="G10" s="99" t="n">
        <x:v>1.73241</x:v>
      </x:c>
      <x:c r="H10" s="96" t="str">
        <x:v>Top20_priority</x:v>
      </x:c>
      <x:c r="I10" s="96" t="str">
        <x:v>Homo sapiens (Human)</x:v>
      </x:c>
      <x:c r="J10" s="96" t="n">
        <x:v>9606</x:v>
      </x:c>
      <x:c r="K10" s="98" t="str">
        <x:v>prediction_only</x:v>
      </x:c>
      <x:c r="L10" s="98" t="str">
        <x:v>Include_as_NetInfer_prediction</x:v>
      </x:c>
    </x:row>
    <x:row r="11" ht="36" hidden="0" customHeight="1">
      <x:c r="A11" s="100" t="n">
        <x:v>10</x:v>
      </x:c>
      <x:c r="B11" s="96" t="str">
        <x:v>SHBG</x:v>
      </x:c>
      <x:c r="C11" s="96" t="str">
        <x:v>P04278</x:v>
      </x:c>
      <x:c r="D11" s="96" t="str">
        <x:v>6462</x:v>
      </x:c>
      <x:c r="E11" s="98" t="str">
        <x:v>Sex hormone-binding globulin (SHBG) (Sex steroid-binding protein) (SBP) (Testis-specific androgen-binding protein) (ABP) (Testosterone-estradiol-binding globulin) (TeBG) (Testosterone-estrogen-binding globulin)</x:v>
      </x:c>
      <x:c r="F11" s="98" t="str">
        <x:v>NA</x:v>
      </x:c>
      <x:c r="G11" s="99" t="n">
        <x:v>1.65222</x:v>
      </x:c>
      <x:c r="H11" s="96" t="str">
        <x:v>Top20_priority</x:v>
      </x:c>
      <x:c r="I11" s="96" t="str">
        <x:v>Homo sapiens (Human)</x:v>
      </x:c>
      <x:c r="J11" s="96" t="n">
        <x:v>9606</x:v>
      </x:c>
      <x:c r="K11" s="98" t="str">
        <x:v>prediction_only</x:v>
      </x:c>
      <x:c r="L11" s="98" t="str">
        <x:v>Include_as_NetInfer_prediction</x:v>
      </x:c>
    </x:row>
    <x:row r="12" ht="36" hidden="0" customHeight="1">
      <x:c r="A12" s="100" t="n">
        <x:v>11</x:v>
      </x:c>
      <x:c r="B12" s="96" t="str">
        <x:v>CHRNA10</x:v>
      </x:c>
      <x:c r="C12" s="96" t="str">
        <x:v>Q9GZZ6</x:v>
      </x:c>
      <x:c r="D12" s="96" t="str">
        <x:v>57053</x:v>
      </x:c>
      <x:c r="E12" s="98" t="str">
        <x:v>Neuronal acetylcholine receptor subunit alpha-10 (Nicotinic acetylcholine receptor subunit alpha-10) (NACHR alpha-10)</x:v>
      </x:c>
      <x:c r="F12" s="98" t="str">
        <x:v>Ligand-gated ion channel (TC 1.A.9) family, Acetylcholine receptor (TC 1.A.9.1) subfamily, Alpha-10/CHRNA10 sub-subfamily</x:v>
      </x:c>
      <x:c r="G12" s="99" t="n">
        <x:v>1.64045</x:v>
      </x:c>
      <x:c r="H12" s="96" t="str">
        <x:v>Top20_priority</x:v>
      </x:c>
      <x:c r="I12" s="96" t="str">
        <x:v>Homo sapiens (Human)</x:v>
      </x:c>
      <x:c r="J12" s="96" t="n">
        <x:v>9606</x:v>
      </x:c>
      <x:c r="K12" s="98" t="str">
        <x:v>prediction_only</x:v>
      </x:c>
      <x:c r="L12" s="98" t="str">
        <x:v>Include_as_NetInfer_prediction</x:v>
      </x:c>
    </x:row>
    <x:row r="13" ht="36" hidden="0" customHeight="1">
      <x:c r="A13" s="100" t="n">
        <x:v>12</x:v>
      </x:c>
      <x:c r="B13" s="96" t="str">
        <x:v>CHRNA9</x:v>
      </x:c>
      <x:c r="C13" s="96" t="str">
        <x:v>Q9UGM1</x:v>
      </x:c>
      <x:c r="D13" s="96" t="str">
        <x:v>55584</x:v>
      </x:c>
      <x:c r="E13" s="98" t="str">
        <x:v>Neuronal acetylcholine receptor subunit alpha-9 (Nicotinic acetylcholine receptor subunit alpha-9) (NACHR alpha-9)</x:v>
      </x:c>
      <x:c r="F13" s="98" t="str">
        <x:v>Ligand-gated ion channel (TC 1.A.9) family, Acetylcholine receptor (TC 1.A.9.1) subfamily, Alpha-9/CHRNA9 sub-subfamily</x:v>
      </x:c>
      <x:c r="G13" s="99" t="n">
        <x:v>1.64045</x:v>
      </x:c>
      <x:c r="H13" s="96" t="str">
        <x:v>Top20_priority</x:v>
      </x:c>
      <x:c r="I13" s="96" t="str">
        <x:v>Homo sapiens (Human)</x:v>
      </x:c>
      <x:c r="J13" s="96" t="n">
        <x:v>9606</x:v>
      </x:c>
      <x:c r="K13" s="98" t="str">
        <x:v>prediction_only</x:v>
      </x:c>
      <x:c r="L13" s="98" t="str">
        <x:v>Include_as_NetInfer_prediction</x:v>
      </x:c>
    </x:row>
    <x:row r="14" ht="24" hidden="0" customHeight="1">
      <x:c r="A14" s="100" t="n">
        <x:v>13</x:v>
      </x:c>
      <x:c r="B14" s="96" t="str">
        <x:v>HMGCR</x:v>
      </x:c>
      <x:c r="C14" s="96" t="str">
        <x:v>P04035</x:v>
      </x:c>
      <x:c r="D14" s="96" t="str">
        <x:v>3156</x:v>
      </x:c>
      <x:c r="E14" s="98" t="str">
        <x:v>3-hydroxy-3-methylglutaryl-coenzyme A reductase (HMG-CoA reductase) (EC 1.1.1.34)</x:v>
      </x:c>
      <x:c r="F14" s="98" t="str">
        <x:v>HMG-CoA reductase family</x:v>
      </x:c>
      <x:c r="G14" s="99" t="n">
        <x:v>1.60169</x:v>
      </x:c>
      <x:c r="H14" s="96" t="str">
        <x:v>Top20_priority</x:v>
      </x:c>
      <x:c r="I14" s="96" t="str">
        <x:v>Homo sapiens (Human)</x:v>
      </x:c>
      <x:c r="J14" s="96" t="n">
        <x:v>9606</x:v>
      </x:c>
      <x:c r="K14" s="98" t="str">
        <x:v>prediction_only</x:v>
      </x:c>
      <x:c r="L14" s="98" t="str">
        <x:v>Include_as_NetInfer_prediction</x:v>
      </x:c>
    </x:row>
    <x:row r="15" ht="24" hidden="0" customHeight="1">
      <x:c r="A15" s="100" t="n">
        <x:v>14</x:v>
      </x:c>
      <x:c r="B15" s="96" t="str">
        <x:v>STS</x:v>
      </x:c>
      <x:c r="C15" s="96" t="str">
        <x:v>P08842</x:v>
      </x:c>
      <x:c r="D15" s="96" t="str">
        <x:v>412</x:v>
      </x:c>
      <x:c r="E15" s="98" t="str">
        <x:v>Steryl-sulfatase (EC 3.1.6.2) (Arylsulfatase C) (ASC) (Steroid sulfatase) (Steryl-sulfate sulfohydrolase)</x:v>
      </x:c>
      <x:c r="F15" s="98" t="str">
        <x:v>Sulfatase family</x:v>
      </x:c>
      <x:c r="G15" s="99" t="n">
        <x:v>1.52669</x:v>
      </x:c>
      <x:c r="H15" s="96" t="str">
        <x:v>Top20_priority</x:v>
      </x:c>
      <x:c r="I15" s="96" t="str">
        <x:v>Homo sapiens (Human)</x:v>
      </x:c>
      <x:c r="J15" s="96" t="n">
        <x:v>9606</x:v>
      </x:c>
      <x:c r="K15" s="98" t="str">
        <x:v>prediction_only</x:v>
      </x:c>
      <x:c r="L15" s="98" t="str">
        <x:v>Include_as_NetInfer_prediction</x:v>
      </x:c>
    </x:row>
    <x:row r="16" ht="15" hidden="0" customHeight="1">
      <x:c r="A16" s="100" t="n">
        <x:v>15</x:v>
      </x:c>
      <x:c r="B16" s="96" t="str">
        <x:v>CNR1</x:v>
      </x:c>
      <x:c r="C16" s="96" t="str">
        <x:v>P21554</x:v>
      </x:c>
      <x:c r="D16" s="96" t="str">
        <x:v>1268</x:v>
      </x:c>
      <x:c r="E16" s="98" t="str">
        <x:v>Cannabinoid receptor 1 (CB-R) (CB1) (CANN6)</x:v>
      </x:c>
      <x:c r="F16" s="98" t="str">
        <x:v>G-protein coupled receptor 1 family</x:v>
      </x:c>
      <x:c r="G16" s="99" t="n">
        <x:v>1.47848</x:v>
      </x:c>
      <x:c r="H16" s="96" t="str">
        <x:v>Top20_priority</x:v>
      </x:c>
      <x:c r="I16" s="96" t="str">
        <x:v>Homo sapiens (Human)</x:v>
      </x:c>
      <x:c r="J16" s="96" t="n">
        <x:v>9606</x:v>
      </x:c>
      <x:c r="K16" s="98" t="str">
        <x:v>prediction_only</x:v>
      </x:c>
      <x:c r="L16" s="98" t="str">
        <x:v>Include_as_NetInfer_prediction</x:v>
      </x:c>
    </x:row>
    <x:row r="17" ht="15" hidden="0" customHeight="1">
      <x:c r="A17" s="100" t="n">
        <x:v>16</x:v>
      </x:c>
      <x:c r="B17" s="96" t="str">
        <x:v>REN</x:v>
      </x:c>
      <x:c r="C17" s="96" t="str">
        <x:v>P00797</x:v>
      </x:c>
      <x:c r="D17" s="96" t="str">
        <x:v>5972</x:v>
      </x:c>
      <x:c r="E17" s="98" t="str">
        <x:v>Renin (EC 3.4.23.15) (Angiotensinogenase)</x:v>
      </x:c>
      <x:c r="F17" s="98" t="str">
        <x:v>Peptidase A1 family</x:v>
      </x:c>
      <x:c r="G17" s="99" t="n">
        <x:v>1.47225</x:v>
      </x:c>
      <x:c r="H17" s="96" t="str">
        <x:v>Top20_priority</x:v>
      </x:c>
      <x:c r="I17" s="96" t="str">
        <x:v>Homo sapiens (Human)</x:v>
      </x:c>
      <x:c r="J17" s="96" t="n">
        <x:v>9606</x:v>
      </x:c>
      <x:c r="K17" s="98" t="str">
        <x:v>prediction_only</x:v>
      </x:c>
      <x:c r="L17" s="98" t="str">
        <x:v>Include_as_NetInfer_prediction</x:v>
      </x:c>
    </x:row>
    <x:row r="18" ht="24" hidden="0" customHeight="1">
      <x:c r="A18" s="100" t="n">
        <x:v>17</x:v>
      </x:c>
      <x:c r="B18" s="96" t="str">
        <x:v>MVD</x:v>
      </x:c>
      <x:c r="C18" s="96" t="str">
        <x:v>P53602</x:v>
      </x:c>
      <x:c r="D18" s="96" t="str">
        <x:v>4597</x:v>
      </x:c>
      <x:c r="E18" s="98" t="str">
        <x:v>Diphosphomevalonate decarboxylase (EC 4.1.1.33) (Mevalonate (diphospho)decarboxylase) (MDDase) (Mevalonate pyrophosphate decarboxylase)</x:v>
      </x:c>
      <x:c r="F18" s="98" t="str">
        <x:v>Diphosphomevalonate decarboxylase family</x:v>
      </x:c>
      <x:c r="G18" s="99" t="n">
        <x:v>1.44222</x:v>
      </x:c>
      <x:c r="H18" s="96" t="str">
        <x:v>Top20_priority</x:v>
      </x:c>
      <x:c r="I18" s="96" t="str">
        <x:v>Homo sapiens (Human)</x:v>
      </x:c>
      <x:c r="J18" s="96" t="n">
        <x:v>9606</x:v>
      </x:c>
      <x:c r="K18" s="98" t="str">
        <x:v>prediction_only</x:v>
      </x:c>
      <x:c r="L18" s="98" t="str">
        <x:v>Include_as_NetInfer_prediction</x:v>
      </x:c>
    </x:row>
    <x:row r="19" ht="36" hidden="0" customHeight="1">
      <x:c r="A19" s="100" t="n">
        <x:v>18</x:v>
      </x:c>
      <x:c r="B19" s="96" t="str">
        <x:v>GLO1</x:v>
      </x:c>
      <x:c r="C19" s="96" t="str">
        <x:v>Q04760</x:v>
      </x:c>
      <x:c r="D19" s="96" t="str">
        <x:v>2739</x:v>
      </x:c>
      <x:c r="E19" s="98" t="str">
        <x:v>Lactoylglutathione lyase (EC 4.4.1.5) (Aldoketomutase) (Glyoxalase I) (Glx I) (Ketone-aldehyde mutase) (Methylglyoxalase) (S-D-lactoylglutathione methylglyoxal lyase)</x:v>
      </x:c>
      <x:c r="F19" s="98" t="str">
        <x:v>Glyoxalase I family</x:v>
      </x:c>
      <x:c r="G19" s="99" t="n">
        <x:v>1.38483</x:v>
      </x:c>
      <x:c r="H19" s="96" t="str">
        <x:v>Top20_priority</x:v>
      </x:c>
      <x:c r="I19" s="96" t="str">
        <x:v>Homo sapiens (Human)</x:v>
      </x:c>
      <x:c r="J19" s="96" t="n">
        <x:v>9606</x:v>
      </x:c>
      <x:c r="K19" s="98" t="str">
        <x:v>prediction_only</x:v>
      </x:c>
      <x:c r="L19" s="98" t="str">
        <x:v>Include_as_NetInfer_prediction</x:v>
      </x:c>
    </x:row>
    <x:row r="20" ht="15" hidden="0" customHeight="1">
      <x:c r="A20" s="100" t="n">
        <x:v>19</x:v>
      </x:c>
      <x:c r="B20" s="96" t="str">
        <x:v>PGR</x:v>
      </x:c>
      <x:c r="C20" s="96" t="str">
        <x:v>P06401</x:v>
      </x:c>
      <x:c r="D20" s="96" t="str">
        <x:v>5241</x:v>
      </x:c>
      <x:c r="E20" s="98" t="str">
        <x:v>Progesterone receptor (PR) (Nuclear receptor subfamily 3 group C member 3)</x:v>
      </x:c>
      <x:c r="F20" s="98" t="str">
        <x:v>Nuclear hormone receptor family, NR3 subfamily</x:v>
      </x:c>
      <x:c r="G20" s="99" t="n">
        <x:v>1.29916</x:v>
      </x:c>
      <x:c r="H20" s="96" t="str">
        <x:v>Top20_priority</x:v>
      </x:c>
      <x:c r="I20" s="96" t="str">
        <x:v>Homo sapiens (Human)</x:v>
      </x:c>
      <x:c r="J20" s="96" t="n">
        <x:v>9606</x:v>
      </x:c>
      <x:c r="K20" s="98" t="str">
        <x:v>prediction_only</x:v>
      </x:c>
      <x:c r="L20" s="98" t="str">
        <x:v>Include_as_NetInfer_prediction</x:v>
      </x:c>
    </x:row>
    <x:row r="21" ht="15" hidden="0" customHeight="1">
      <x:c r="A21" s="100" t="n">
        <x:v>20</x:v>
      </x:c>
      <x:c r="B21" s="96" t="str">
        <x:v>BTN3A1</x:v>
      </x:c>
      <x:c r="C21" s="96" t="str">
        <x:v>O00481</x:v>
      </x:c>
      <x:c r="D21" s="96" t="str">
        <x:v>11119</x:v>
      </x:c>
      <x:c r="E21" s="98" t="str">
        <x:v>Butyrophilin subfamily 3 member A1 (CD antigen CD277)</x:v>
      </x:c>
      <x:c r="F21" s="98" t="str">
        <x:v>Immunoglobulin superfamily, BTN/MOG family</x:v>
      </x:c>
      <x:c r="G21" s="99" t="n">
        <x:v>1.26933</x:v>
      </x:c>
      <x:c r="H21" s="96" t="str">
        <x:v>Top20_priority</x:v>
      </x:c>
      <x:c r="I21" s="96" t="str">
        <x:v>Homo sapiens (Human)</x:v>
      </x:c>
      <x:c r="J21" s="96" t="n">
        <x:v>9606</x:v>
      </x:c>
      <x:c r="K21" s="98" t="str">
        <x:v>prediction_only</x:v>
      </x:c>
      <x:c r="L21" s="98" t="str">
        <x:v>Include_as_NetInfer_prediction</x:v>
      </x:c>
    </x:row>
    <x:row r="22" ht="96" hidden="0" customHeight="1">
      <x:c r="A22" s="100" t="n">
        <x:v>21</x:v>
      </x:c>
      <x:c r="B22" s="96" t="str">
        <x:v>AKR1C3</x:v>
      </x:c>
      <x:c r="C22" s="96" t="str">
        <x:v>P42330</x:v>
      </x:c>
      <x:c r="D22" s="96" t="str">
        <x:v>8644</x:v>
      </x:c>
      <x:c r="E22" s="98" t="str">
        <x:v>Aldo-keto reductase family 1 member C3 (EC 1.-.-.-) (17-beta-hydroxysteroid dehydrogenase type 5) (17-beta-HSD 5) (3-alpha-HSD type II, brain) (3-alpha-hydroxysteroid dehydrogenase type 2) (3-alpha-HSD type 2) (EC 1.1.1.357) (Chlordecone reductase homolog HAKRb) (Dihydrodiol dehydrogenase 3) (DD-3) (DD3) (Dihydrodiol dehydrogenase type I) (HA1753) (Indanol dehydrogenase) (EC 1.1.1.112) (Prostaglandin F synthase) (PGFS) (EC 1.1.1.188) (Testosterone 17-beta-dehydrogenase 5) (EC 1.1.1.239) (EC 1.1.1.64) (Trans-1,2-dihydrobenzene-1,2-diol dehydrogenase) (EC 1.3.1.20)</x:v>
      </x:c>
      <x:c r="F22" s="98" t="str">
        <x:v>Aldo/keto reductase family</x:v>
      </x:c>
      <x:c r="G22" s="99" t="n">
        <x:v>1.2405</x:v>
      </x:c>
      <x:c r="H22" s="96" t="str">
        <x:v>Rank21_50_extended</x:v>
      </x:c>
      <x:c r="I22" s="96" t="str">
        <x:v>Homo sapiens (Human)</x:v>
      </x:c>
      <x:c r="J22" s="96" t="n">
        <x:v>9606</x:v>
      </x:c>
      <x:c r="K22" s="98" t="str">
        <x:v>prediction_only</x:v>
      </x:c>
      <x:c r="L22" s="98" t="str">
        <x:v>Include_as_NetInfer_prediction</x:v>
      </x:c>
    </x:row>
    <x:row r="23" ht="24" hidden="0" customHeight="1">
      <x:c r="A23" s="100" t="n">
        <x:v>22</x:v>
      </x:c>
      <x:c r="B23" s="96" t="str">
        <x:v>SF3B3</x:v>
      </x:c>
      <x:c r="C23" s="96" t="str">
        <x:v>Q15393</x:v>
      </x:c>
      <x:c r="D23" s="96" t="str">
        <x:v>23450</x:v>
      </x:c>
      <x:c r="E23" s="98" t="str">
        <x:v>Splicing factor 3B subunit 3 (Pre-mRNA-splicing factor SF3b 130 kDa subunit) (SF3b130) (STAF130) (Spliceosome-associated protein 130) (SAP 130)</x:v>
      </x:c>
      <x:c r="F23" s="98" t="str">
        <x:v>RSE1 family</x:v>
      </x:c>
      <x:c r="G23" s="99" t="n">
        <x:v>1.23659</x:v>
      </x:c>
      <x:c r="H23" s="96" t="str">
        <x:v>Rank21_50_extended</x:v>
      </x:c>
      <x:c r="I23" s="96" t="str">
        <x:v>Homo sapiens (Human)</x:v>
      </x:c>
      <x:c r="J23" s="96" t="n">
        <x:v>9606</x:v>
      </x:c>
      <x:c r="K23" s="98" t="str">
        <x:v>prediction_only</x:v>
      </x:c>
      <x:c r="L23" s="98" t="str">
        <x:v>Include_as_NetInfer_prediction</x:v>
      </x:c>
    </x:row>
    <x:row r="24" ht="24" hidden="0" customHeight="1">
      <x:c r="A24" s="100" t="n">
        <x:v>23</x:v>
      </x:c>
      <x:c r="B24" s="96" t="str">
        <x:v>CA2</x:v>
      </x:c>
      <x:c r="C24" s="96" t="str">
        <x:v>P00918</x:v>
      </x:c>
      <x:c r="D24" s="96" t="str">
        <x:v>760</x:v>
      </x:c>
      <x:c r="E24" s="98" t="str">
        <x:v>Carbonic anhydrase 2 (EC 4.2.1.1) (Carbonate dehydratase II) (Carbonic anhydrase C) (CAC) (Carbonic anhydrase II) (CA-II)</x:v>
      </x:c>
      <x:c r="F24" s="98" t="str">
        <x:v>Alpha-carbonic anhydrase family</x:v>
      </x:c>
      <x:c r="G24" s="99" t="n">
        <x:v>1.23135</x:v>
      </x:c>
      <x:c r="H24" s="96" t="str">
        <x:v>Rank21_50_extended</x:v>
      </x:c>
      <x:c r="I24" s="96" t="str">
        <x:v>Homo sapiens (Human)</x:v>
      </x:c>
      <x:c r="J24" s="96" t="n">
        <x:v>9606</x:v>
      </x:c>
      <x:c r="K24" s="98" t="str">
        <x:v>prediction_only</x:v>
      </x:c>
      <x:c r="L24" s="98" t="str">
        <x:v>Include_as_NetInfer_prediction</x:v>
      </x:c>
    </x:row>
    <x:row r="25" ht="48" hidden="0" customHeight="1">
      <x:c r="A25" s="100" t="n">
        <x:v>24</x:v>
      </x:c>
      <x:c r="B25" s="96" t="str">
        <x:v>KCNH2</x:v>
      </x:c>
      <x:c r="C25" s="96" t="str">
        <x:v>Q12809</x:v>
      </x:c>
      <x:c r="D25" s="96" t="str">
        <x:v>3757</x:v>
      </x:c>
      <x:c r="E25" s="98" t="str">
        <x:v>Potassium voltage-gated channel subfamily H member 2 (Eag homolog) (Ether-a-go-go-related gene potassium channel 1) (ERG-1) (Eag-related protein 1) (Ether-a-go-go-related protein 1) (H-ERG) (hERG-1) (hERG1) (Voltage-gated potassium channel subunit Kv11.1)</x:v>
      </x:c>
      <x:c r="F25" s="98" t="str">
        <x:v>Potassium channel family, H (Eag) (TC 1.A.1.20) subfamily, Kv11.1/KCNH2 sub-subfamily</x:v>
      </x:c>
      <x:c r="G25" s="99" t="n">
        <x:v>1.20138</x:v>
      </x:c>
      <x:c r="H25" s="96" t="str">
        <x:v>Rank21_50_extended</x:v>
      </x:c>
      <x:c r="I25" s="96" t="str">
        <x:v>Homo sapiens (Human)</x:v>
      </x:c>
      <x:c r="J25" s="96" t="n">
        <x:v>9606</x:v>
      </x:c>
      <x:c r="K25" s="98" t="str">
        <x:v>prediction_only</x:v>
      </x:c>
      <x:c r="L25" s="98" t="str">
        <x:v>Include_as_NetInfer_prediction</x:v>
      </x:c>
    </x:row>
    <x:row r="26" ht="15" hidden="0" customHeight="1">
      <x:c r="A26" s="100" t="n">
        <x:v>25</x:v>
      </x:c>
      <x:c r="B26" s="96" t="str">
        <x:v>DRD2</x:v>
      </x:c>
      <x:c r="C26" s="96" t="str">
        <x:v>P14416</x:v>
      </x:c>
      <x:c r="D26" s="96" t="str">
        <x:v>1813</x:v>
      </x:c>
      <x:c r="E26" s="98" t="str">
        <x:v>D(2) dopamine receptor (Dopamine D2 receptor)</x:v>
      </x:c>
      <x:c r="F26" s="98" t="str">
        <x:v>G-protein coupled receptor 1 family</x:v>
      </x:c>
      <x:c r="G26" s="99" t="n">
        <x:v>1.18635</x:v>
      </x:c>
      <x:c r="H26" s="96" t="str">
        <x:v>Rank21_50_extended</x:v>
      </x:c>
      <x:c r="I26" s="96" t="str">
        <x:v>Homo sapiens (Human)</x:v>
      </x:c>
      <x:c r="J26" s="96" t="n">
        <x:v>9606</x:v>
      </x:c>
      <x:c r="K26" s="98" t="str">
        <x:v>prediction_only</x:v>
      </x:c>
      <x:c r="L26" s="98" t="str">
        <x:v>Include_as_NetInfer_prediction</x:v>
      </x:c>
    </x:row>
    <x:row r="27" ht="24" hidden="0" customHeight="1">
      <x:c r="A27" s="100" t="n">
        <x:v>26</x:v>
      </x:c>
      <x:c r="B27" s="96" t="str">
        <x:v>PRKCA</x:v>
      </x:c>
      <x:c r="C27" s="96" t="str">
        <x:v>P17252</x:v>
      </x:c>
      <x:c r="D27" s="96" t="str">
        <x:v>5578</x:v>
      </x:c>
      <x:c r="E27" s="98" t="str">
        <x:v>Protein kinase C alpha type (PKC-A) (PKC-alpha) (EC 2.7.11.13)</x:v>
      </x:c>
      <x:c r="F27" s="98" t="str">
        <x:v>Protein kinase superfamily, AGC Ser/Thr protein kinase family, PKC subfamily</x:v>
      </x:c>
      <x:c r="G27" s="99" t="n">
        <x:v>1.17691</x:v>
      </x:c>
      <x:c r="H27" s="96" t="str">
        <x:v>Rank21_50_extended</x:v>
      </x:c>
      <x:c r="I27" s="96" t="str">
        <x:v>Homo sapiens (Human)</x:v>
      </x:c>
      <x:c r="J27" s="96" t="n">
        <x:v>9606</x:v>
      </x:c>
      <x:c r="K27" s="98" t="str">
        <x:v>prediction_only</x:v>
      </x:c>
      <x:c r="L27" s="98" t="str">
        <x:v>Include_as_NetInfer_prediction</x:v>
      </x:c>
    </x:row>
    <x:row r="28" ht="36" hidden="0" customHeight="1">
      <x:c r="A28" s="100" t="n">
        <x:v>27</x:v>
      </x:c>
      <x:c r="B28" s="96" t="str">
        <x:v>KLF5</x:v>
      </x:c>
      <x:c r="C28" s="96" t="str">
        <x:v>Q13887</x:v>
      </x:c>
      <x:c r="D28" s="96" t="str">
        <x:v>688</x:v>
      </x:c>
      <x:c r="E28" s="98" t="str">
        <x:v>Krueppel-like factor 5 (Basic transcription element-binding protein 2) (BTE-binding protein 2) (Colon krueppel-like factor) (GC-box-binding protein 2) (Intestinal-enriched krueppel-like factor) (Transcription factor BTEB2)</x:v>
      </x:c>
      <x:c r="F28" s="98" t="str">
        <x:v>Krueppel C2H2-type zinc-finger protein family</x:v>
      </x:c>
      <x:c r="G28" s="99" t="n">
        <x:v>1.1595</x:v>
      </x:c>
      <x:c r="H28" s="96" t="str">
        <x:v>Rank21_50_extended</x:v>
      </x:c>
      <x:c r="I28" s="96" t="str">
        <x:v>Homo sapiens (Human)</x:v>
      </x:c>
      <x:c r="J28" s="96" t="n">
        <x:v>9606</x:v>
      </x:c>
      <x:c r="K28" s="98" t="str">
        <x:v>prediction_only</x:v>
      </x:c>
      <x:c r="L28" s="98" t="str">
        <x:v>Include_as_NetInfer_prediction</x:v>
      </x:c>
    </x:row>
    <x:row r="29" ht="24" hidden="0" customHeight="1">
      <x:c r="A29" s="100" t="n">
        <x:v>28</x:v>
      </x:c>
      <x:c r="B29" s="96" t="str">
        <x:v>BCHE</x:v>
      </x:c>
      <x:c r="C29" s="96" t="str">
        <x:v>P06276</x:v>
      </x:c>
      <x:c r="D29" s="96" t="str">
        <x:v>590</x:v>
      </x:c>
      <x:c r="E29" s="98" t="str">
        <x:v>Cholinesterase (EC 3.1.1.8) (Acylcholine acylhydrolase) (Butyrylcholine esterase) (Choline esterase II) (Pseudocholinesterase)</x:v>
      </x:c>
      <x:c r="F29" s="98" t="str">
        <x:v>Type-B carboxylesterase/lipase family</x:v>
      </x:c>
      <x:c r="G29" s="99" t="n">
        <x:v>1.15026</x:v>
      </x:c>
      <x:c r="H29" s="96" t="str">
        <x:v>Rank21_50_extended</x:v>
      </x:c>
      <x:c r="I29" s="96" t="str">
        <x:v>Homo sapiens (Human)</x:v>
      </x:c>
      <x:c r="J29" s="96" t="n">
        <x:v>9606</x:v>
      </x:c>
      <x:c r="K29" s="98" t="str">
        <x:v>prediction_only</x:v>
      </x:c>
      <x:c r="L29" s="98" t="str">
        <x:v>Include_as_NetInfer_prediction</x:v>
      </x:c>
    </x:row>
    <x:row r="30" ht="15" hidden="0" customHeight="1">
      <x:c r="A30" s="100" t="n">
        <x:v>29</x:v>
      </x:c>
      <x:c r="B30" s="96" t="str">
        <x:v>PNLIP</x:v>
      </x:c>
      <x:c r="C30" s="96" t="str">
        <x:v>P16233</x:v>
      </x:c>
      <x:c r="D30" s="96" t="str">
        <x:v>5406</x:v>
      </x:c>
      <x:c r="E30" s="98" t="str">
        <x:v>Pancreatic triacylglycerol lipase (PL) (PTL) (Pancreatic lipase) (EC 3.1.1.3)</x:v>
      </x:c>
      <x:c r="F30" s="98" t="str">
        <x:v>AB hydrolase superfamily, Lipase family</x:v>
      </x:c>
      <x:c r="G30" s="99" t="n">
        <x:v>1.111</x:v>
      </x:c>
      <x:c r="H30" s="96" t="str">
        <x:v>Rank21_50_extended</x:v>
      </x:c>
      <x:c r="I30" s="96" t="str">
        <x:v>Homo sapiens (Human)</x:v>
      </x:c>
      <x:c r="J30" s="96" t="n">
        <x:v>9606</x:v>
      </x:c>
      <x:c r="K30" s="98" t="str">
        <x:v>prediction_only</x:v>
      </x:c>
      <x:c r="L30" s="98" t="str">
        <x:v>Include_as_NetInfer_prediction</x:v>
      </x:c>
    </x:row>
    <x:row r="31" ht="15" hidden="0" customHeight="1">
      <x:c r="A31" s="100" t="n">
        <x:v>30</x:v>
      </x:c>
      <x:c r="B31" s="96" t="str">
        <x:v>OPRD1</x:v>
      </x:c>
      <x:c r="C31" s="96" t="str">
        <x:v>P41143</x:v>
      </x:c>
      <x:c r="D31" s="96" t="str">
        <x:v>4985</x:v>
      </x:c>
      <x:c r="E31" s="98" t="str">
        <x:v>Delta-type opioid receptor (D-OR-1) (DOR-1)</x:v>
      </x:c>
      <x:c r="F31" s="98" t="str">
        <x:v>G-protein coupled receptor 1 family</x:v>
      </x:c>
      <x:c r="G31" s="99" t="n">
        <x:v>0.996497</x:v>
      </x:c>
      <x:c r="H31" s="96" t="str">
        <x:v>Rank21_50_extended</x:v>
      </x:c>
      <x:c r="I31" s="96" t="str">
        <x:v>Homo sapiens (Human)</x:v>
      </x:c>
      <x:c r="J31" s="96" t="n">
        <x:v>9606</x:v>
      </x:c>
      <x:c r="K31" s="98" t="str">
        <x:v>prediction_only</x:v>
      </x:c>
      <x:c r="L31" s="98" t="str">
        <x:v>Include_as_NetInfer_prediction</x:v>
      </x:c>
    </x:row>
    <x:row r="32" ht="24" hidden="0" customHeight="1">
      <x:c r="A32" s="100" t="n">
        <x:v>31</x:v>
      </x:c>
      <x:c r="B32" s="96" t="str">
        <x:v>NFE2L2</x:v>
      </x:c>
      <x:c r="C32" s="96" t="str">
        <x:v>Q16236</x:v>
      </x:c>
      <x:c r="D32" s="96" t="str">
        <x:v>4780</x:v>
      </x:c>
      <x:c r="E32" s="98" t="str">
        <x:v>Nuclear factor erythroid 2-related factor 2 (NF-E2-related factor 2) (NFE2-related factor 2) (HEBP1) (Nuclear factor, erythroid derived 2, like 2)</x:v>
      </x:c>
      <x:c r="F32" s="98" t="str">
        <x:v>BZIP family, CNC subfamily</x:v>
      </x:c>
      <x:c r="G32" s="99" t="n">
        <x:v>0.994384</x:v>
      </x:c>
      <x:c r="H32" s="96" t="str">
        <x:v>Rank21_50_extended</x:v>
      </x:c>
      <x:c r="I32" s="96" t="str">
        <x:v>Homo sapiens (Human)</x:v>
      </x:c>
      <x:c r="J32" s="96" t="n">
        <x:v>9606</x:v>
      </x:c>
      <x:c r="K32" s="98" t="str">
        <x:v>prediction_only</x:v>
      </x:c>
      <x:c r="L32" s="98" t="str">
        <x:v>Include_as_NetInfer_prediction</x:v>
      </x:c>
    </x:row>
    <x:row r="33" ht="24" hidden="0" customHeight="1">
      <x:c r="A33" s="100" t="n">
        <x:v>32</x:v>
      </x:c>
      <x:c r="B33" s="96" t="str">
        <x:v>MBOAT4</x:v>
      </x:c>
      <x:c r="C33" s="96" t="str">
        <x:v>Q96T53</x:v>
      </x:c>
      <x:c r="D33" s="96" t="str">
        <x:v>619373</x:v>
      </x:c>
      <x:c r="E33" s="98" t="str">
        <x:v>Ghrelin O-acyltransferase (EC 2.3.1.-) (Membrane-bound O-acyltransferase domain-containing protein 4) (O-acyltransferase domain-containing protein 4)</x:v>
      </x:c>
      <x:c r="F33" s="98" t="str">
        <x:v>Membrane-bound acyltransferase family</x:v>
      </x:c>
      <x:c r="G33" s="99" t="n">
        <x:v>0.991444</x:v>
      </x:c>
      <x:c r="H33" s="96" t="str">
        <x:v>Rank21_50_extended</x:v>
      </x:c>
      <x:c r="I33" s="96" t="str">
        <x:v>Homo sapiens (Human)</x:v>
      </x:c>
      <x:c r="J33" s="96" t="n">
        <x:v>9606</x:v>
      </x:c>
      <x:c r="K33" s="98" t="str">
        <x:v>prediction_only</x:v>
      </x:c>
      <x:c r="L33" s="98" t="str">
        <x:v>Include_as_NetInfer_prediction</x:v>
      </x:c>
    </x:row>
    <x:row r="34" ht="24" hidden="0" customHeight="1">
      <x:c r="A34" s="100" t="n">
        <x:v>33</x:v>
      </x:c>
      <x:c r="B34" s="96" t="str">
        <x:v>SLC5A2</x:v>
      </x:c>
      <x:c r="C34" s="96" t="str">
        <x:v>P31639</x:v>
      </x:c>
      <x:c r="D34" s="96" t="str">
        <x:v>6524</x:v>
      </x:c>
      <x:c r="E34" s="98" t="str">
        <x:v>Sodium/glucose cotransporter 2 (Na(+)/glucose cotransporter 2) (Low affinity sodium-glucose cotransporter) (Solute carrier family 5 member 2)</x:v>
      </x:c>
      <x:c r="F34" s="98" t="str">
        <x:v>Sodium:solute symporter (SSF) (TC 2.A.21) family</x:v>
      </x:c>
      <x:c r="G34" s="99" t="n">
        <x:v>0.981711</x:v>
      </x:c>
      <x:c r="H34" s="96" t="str">
        <x:v>Rank21_50_extended</x:v>
      </x:c>
      <x:c r="I34" s="96" t="str">
        <x:v>Homo sapiens (Human)</x:v>
      </x:c>
      <x:c r="J34" s="96" t="n">
        <x:v>9606</x:v>
      </x:c>
      <x:c r="K34" s="98" t="str">
        <x:v>prediction_only</x:v>
      </x:c>
      <x:c r="L34" s="98" t="str">
        <x:v>Include_as_NetInfer_prediction</x:v>
      </x:c>
    </x:row>
    <x:row r="35" ht="15" hidden="0" customHeight="1">
      <x:c r="A35" s="100" t="n">
        <x:v>34</x:v>
      </x:c>
      <x:c r="B35" s="96" t="str">
        <x:v>GPR32</x:v>
      </x:c>
      <x:c r="C35" s="96" t="str">
        <x:v>O75388</x:v>
      </x:c>
      <x:c r="D35" s="96" t="str">
        <x:v>2854</x:v>
      </x:c>
      <x:c r="E35" s="98" t="str">
        <x:v>Probable G-protein coupled receptor 32</x:v>
      </x:c>
      <x:c r="F35" s="98" t="str">
        <x:v>G-protein coupled receptor 1 family</x:v>
      </x:c>
      <x:c r="G35" s="99" t="n">
        <x:v>0.97903</x:v>
      </x:c>
      <x:c r="H35" s="96" t="str">
        <x:v>Rank21_50_extended</x:v>
      </x:c>
      <x:c r="I35" s="96" t="str">
        <x:v>Homo sapiens (Human)</x:v>
      </x:c>
      <x:c r="J35" s="96" t="n">
        <x:v>9606</x:v>
      </x:c>
      <x:c r="K35" s="98" t="str">
        <x:v>prediction_only</x:v>
      </x:c>
      <x:c r="L35" s="98" t="str">
        <x:v>Include_as_NetInfer_prediction</x:v>
      </x:c>
    </x:row>
    <x:row r="36" ht="24" hidden="0" customHeight="1">
      <x:c r="A36" s="100" t="n">
        <x:v>35</x:v>
      </x:c>
      <x:c r="B36" s="96" t="str">
        <x:v>CHRM3</x:v>
      </x:c>
      <x:c r="C36" s="96" t="str">
        <x:v>P20309</x:v>
      </x:c>
      <x:c r="D36" s="96" t="str">
        <x:v>1131</x:v>
      </x:c>
      <x:c r="E36" s="98" t="str">
        <x:v>Muscarinic acetylcholine receptor M3</x:v>
      </x:c>
      <x:c r="F36" s="98" t="str">
        <x:v>G-protein coupled receptor 1 family, Muscarinic acetylcholine receptor subfamily, CHRM3 sub-subfamily</x:v>
      </x:c>
      <x:c r="G36" s="99" t="n">
        <x:v>0.966866</x:v>
      </x:c>
      <x:c r="H36" s="96" t="str">
        <x:v>Rank21_50_extended</x:v>
      </x:c>
      <x:c r="I36" s="96" t="str">
        <x:v>Homo sapiens (Human)</x:v>
      </x:c>
      <x:c r="J36" s="96" t="n">
        <x:v>9606</x:v>
      </x:c>
      <x:c r="K36" s="98" t="str">
        <x:v>prediction_only</x:v>
      </x:c>
      <x:c r="L36" s="98" t="str">
        <x:v>Include_as_NetInfer_prediction</x:v>
      </x:c>
    </x:row>
    <x:row r="37" ht="15" hidden="0" customHeight="1">
      <x:c r="A37" s="100" t="n">
        <x:v>36</x:v>
      </x:c>
      <x:c r="B37" s="96" t="str">
        <x:v>GPR18</x:v>
      </x:c>
      <x:c r="C37" s="96" t="str">
        <x:v>Q14330</x:v>
      </x:c>
      <x:c r="D37" s="96" t="str">
        <x:v>2841</x:v>
      </x:c>
      <x:c r="E37" s="98" t="str">
        <x:v>N-arachidonyl glycine receptor (NAGly receptor) (G-protein coupled receptor 18)</x:v>
      </x:c>
      <x:c r="F37" s="98" t="str">
        <x:v>G-protein coupled receptor 1 family</x:v>
      </x:c>
      <x:c r="G37" s="99" t="n">
        <x:v>0.960422</x:v>
      </x:c>
      <x:c r="H37" s="96" t="str">
        <x:v>Rank21_50_extended</x:v>
      </x:c>
      <x:c r="I37" s="96" t="str">
        <x:v>Homo sapiens (Human)</x:v>
      </x:c>
      <x:c r="J37" s="96" t="n">
        <x:v>9606</x:v>
      </x:c>
      <x:c r="K37" s="98" t="str">
        <x:v>prediction_only</x:v>
      </x:c>
      <x:c r="L37" s="98" t="str">
        <x:v>Include_as_NetInfer_prediction</x:v>
      </x:c>
    </x:row>
    <x:row r="38" ht="15" hidden="0" customHeight="1">
      <x:c r="A38" s="100" t="n">
        <x:v>37</x:v>
      </x:c>
      <x:c r="B38" s="96" t="str">
        <x:v>TDP1</x:v>
      </x:c>
      <x:c r="C38" s="96" t="str">
        <x:v>Q9NUW8</x:v>
      </x:c>
      <x:c r="D38" s="96" t="str">
        <x:v>55775</x:v>
      </x:c>
      <x:c r="E38" s="98" t="str">
        <x:v>Tyrosyl-DNA phosphodiesterase 1 (Tyr-DNA phosphodiesterase 1) (EC 3.1.4.-)</x:v>
      </x:c>
      <x:c r="F38" s="98" t="str">
        <x:v>Tyrosyl-DNA phosphodiesterase family</x:v>
      </x:c>
      <x:c r="G38" s="99" t="n">
        <x:v>0.889927</x:v>
      </x:c>
      <x:c r="H38" s="96" t="str">
        <x:v>Rank21_50_extended</x:v>
      </x:c>
      <x:c r="I38" s="96" t="str">
        <x:v>Homo sapiens (Human)</x:v>
      </x:c>
      <x:c r="J38" s="96" t="n">
        <x:v>9606</x:v>
      </x:c>
      <x:c r="K38" s="98" t="str">
        <x:v>prediction_only</x:v>
      </x:c>
      <x:c r="L38" s="98" t="str">
        <x:v>Include_as_NetInfer_prediction</x:v>
      </x:c>
    </x:row>
    <x:row r="39" ht="24" hidden="0" customHeight="1">
      <x:c r="A39" s="100" t="n">
        <x:v>38</x:v>
      </x:c>
      <x:c r="B39" s="96" t="str">
        <x:v>LPAR3</x:v>
      </x:c>
      <x:c r="C39" s="96" t="str">
        <x:v>Q9UBY5</x:v>
      </x:c>
      <x:c r="D39" s="96" t="str">
        <x:v>23566</x:v>
      </x:c>
      <x:c r="E39" s="98" t="str">
        <x:v>Lysophosphatidic acid receptor 3 (LPA receptor 3) (LPA-3) (Lysophosphatidic acid receptor Edg-7)</x:v>
      </x:c>
      <x:c r="F39" s="98" t="str">
        <x:v>G-protein coupled receptor 1 family</x:v>
      </x:c>
      <x:c r="G39" s="99" t="n">
        <x:v>0.878707</x:v>
      </x:c>
      <x:c r="H39" s="96" t="str">
        <x:v>Rank21_50_extended</x:v>
      </x:c>
      <x:c r="I39" s="96" t="str">
        <x:v>Homo sapiens (Human)</x:v>
      </x:c>
      <x:c r="J39" s="96" t="n">
        <x:v>9606</x:v>
      </x:c>
      <x:c r="K39" s="98" t="str">
        <x:v>prediction_only</x:v>
      </x:c>
      <x:c r="L39" s="98" t="str">
        <x:v>Include_as_NetInfer_prediction</x:v>
      </x:c>
    </x:row>
    <x:row r="40" ht="36" hidden="0" customHeight="1">
      <x:c r="A40" s="100" t="n">
        <x:v>39</x:v>
      </x:c>
      <x:c r="B40" s="96" t="str">
        <x:v>CASP1</x:v>
      </x:c>
      <x:c r="C40" s="96" t="str">
        <x:v>P29466</x:v>
      </x:c>
      <x:c r="D40" s="96" t="str">
        <x:v>834</x:v>
      </x:c>
      <x:c r="E40" s="98" t="str">
        <x:v>Caspase-1 (CASP-1) (EC 3.4.22.36) (Interleukin-1 beta convertase) (IL-1BC) (Interleukin-1 beta-converting enzyme) (ICE) (IL-1 beta-converting enzyme) (p45) [Cleaved into: Caspase-1 subunit p20; Caspase-1 subunit p10]</x:v>
      </x:c>
      <x:c r="F40" s="98" t="str">
        <x:v>Peptidase C14A family</x:v>
      </x:c>
      <x:c r="G40" s="99" t="n">
        <x:v>0.841848</x:v>
      </x:c>
      <x:c r="H40" s="96" t="str">
        <x:v>Rank21_50_extended</x:v>
      </x:c>
      <x:c r="I40" s="96" t="str">
        <x:v>Homo sapiens (Human)</x:v>
      </x:c>
      <x:c r="J40" s="96" t="n">
        <x:v>9606</x:v>
      </x:c>
      <x:c r="K40" s="98" t="str">
        <x:v>prediction_only</x:v>
      </x:c>
      <x:c r="L40" s="98" t="str">
        <x:v>Include_as_NetInfer_prediction</x:v>
      </x:c>
    </x:row>
    <x:row r="41" ht="24" hidden="0" customHeight="1">
      <x:c r="A41" s="100" t="n">
        <x:v>40</x:v>
      </x:c>
      <x:c r="B41" s="96" t="str">
        <x:v>CHRM5</x:v>
      </x:c>
      <x:c r="C41" s="96" t="str">
        <x:v>P08912</x:v>
      </x:c>
      <x:c r="D41" s="96" t="str">
        <x:v>1133</x:v>
      </x:c>
      <x:c r="E41" s="98" t="str">
        <x:v>Muscarinic acetylcholine receptor M5</x:v>
      </x:c>
      <x:c r="F41" s="98" t="str">
        <x:v>G-protein coupled receptor 1 family, Muscarinic acetylcholine receptor subfamily, CHRM5 sub-subfamily</x:v>
      </x:c>
      <x:c r="G41" s="99" t="n">
        <x:v>0.835223</x:v>
      </x:c>
      <x:c r="H41" s="96" t="str">
        <x:v>Rank21_50_extended</x:v>
      </x:c>
      <x:c r="I41" s="96" t="str">
        <x:v>Homo sapiens (Human)</x:v>
      </x:c>
      <x:c r="J41" s="96" t="n">
        <x:v>9606</x:v>
      </x:c>
      <x:c r="K41" s="98" t="str">
        <x:v>prediction_only</x:v>
      </x:c>
      <x:c r="L41" s="98" t="str">
        <x:v>Include_as_NetInfer_prediction</x:v>
      </x:c>
    </x:row>
    <x:row r="42" ht="36" hidden="0" customHeight="1">
      <x:c r="A42" s="100" t="n">
        <x:v>41</x:v>
      </x:c>
      <x:c r="B42" s="96" t="str">
        <x:v>MIF</x:v>
      </x:c>
      <x:c r="C42" s="96" t="str">
        <x:v>P14174</x:v>
      </x:c>
      <x:c r="D42" s="96" t="str">
        <x:v>4282</x:v>
      </x:c>
      <x:c r="E42" s="98" t="str">
        <x:v>Macrophage migration inhibitory factor (MIF) (EC 5.3.2.1) (Glycosylation-inhibiting factor) (GIF) (L-dopachrome isomerase) (L-dopachrome tautomerase) (EC 5.3.3.12) (Phenylpyruvate tautomerase)</x:v>
      </x:c>
      <x:c r="F42" s="98" t="str">
        <x:v>MIF family</x:v>
      </x:c>
      <x:c r="G42" s="99" t="n">
        <x:v>0.827365</x:v>
      </x:c>
      <x:c r="H42" s="96" t="str">
        <x:v>Rank21_50_extended</x:v>
      </x:c>
      <x:c r="I42" s="96" t="str">
        <x:v>Homo sapiens (Human)</x:v>
      </x:c>
      <x:c r="J42" s="96" t="n">
        <x:v>9606</x:v>
      </x:c>
      <x:c r="K42" s="98" t="str">
        <x:v>prediction_only</x:v>
      </x:c>
      <x:c r="L42" s="98" t="str">
        <x:v>Include_as_NetInfer_prediction</x:v>
      </x:c>
    </x:row>
    <x:row r="43" ht="15" hidden="0" customHeight="1">
      <x:c r="A43" s="100" t="n">
        <x:v>42</x:v>
      </x:c>
      <x:c r="B43" s="96" t="str">
        <x:v>PAX8</x:v>
      </x:c>
      <x:c r="C43" s="96" t="str">
        <x:v>Q06710</x:v>
      </x:c>
      <x:c r="D43" s="96" t="str">
        <x:v>7849</x:v>
      </x:c>
      <x:c r="E43" s="98" t="str">
        <x:v>Paired box protein Pax-8</x:v>
      </x:c>
      <x:c r="F43" s="98" t="str">
        <x:v>NA</x:v>
      </x:c>
      <x:c r="G43" s="99" t="n">
        <x:v>0.816687</x:v>
      </x:c>
      <x:c r="H43" s="96" t="str">
        <x:v>Rank21_50_extended</x:v>
      </x:c>
      <x:c r="I43" s="96" t="str">
        <x:v>Homo sapiens (Human)</x:v>
      </x:c>
      <x:c r="J43" s="96" t="n">
        <x:v>9606</x:v>
      </x:c>
      <x:c r="K43" s="98" t="str">
        <x:v>prediction_only</x:v>
      </x:c>
      <x:c r="L43" s="98" t="str">
        <x:v>Include_as_NetInfer_prediction</x:v>
      </x:c>
    </x:row>
    <x:row r="44" ht="24" hidden="0" customHeight="1">
      <x:c r="A44" s="100" t="n">
        <x:v>43</x:v>
      </x:c>
      <x:c r="B44" s="96" t="str">
        <x:v>GLRA1</x:v>
      </x:c>
      <x:c r="C44" s="96" t="str">
        <x:v>P23415</x:v>
      </x:c>
      <x:c r="D44" s="96" t="str">
        <x:v>2741</x:v>
      </x:c>
      <x:c r="E44" s="98" t="str">
        <x:v>Glycine receptor subunit alpha-1 (Glycine receptor 48 kDa subunit) (Glycine receptor strychnine-binding subunit)</x:v>
      </x:c>
      <x:c r="F44" s="98" t="str">
        <x:v>Ligand-gated ion channel (TC 1.A.9) family, Glycine receptor (TC 1.A.9.3) subfamily, GLRA1 sub-subfamily</x:v>
      </x:c>
      <x:c r="G44" s="99" t="n">
        <x:v>0.81402</x:v>
      </x:c>
      <x:c r="H44" s="96" t="str">
        <x:v>Rank21_50_extended</x:v>
      </x:c>
      <x:c r="I44" s="96" t="str">
        <x:v>Homo sapiens (Human)</x:v>
      </x:c>
      <x:c r="J44" s="96" t="n">
        <x:v>9606</x:v>
      </x:c>
      <x:c r="K44" s="98" t="str">
        <x:v>prediction_only</x:v>
      </x:c>
      <x:c r="L44" s="98" t="str">
        <x:v>Include_as_NetInfer_prediction</x:v>
      </x:c>
    </x:row>
    <x:row r="45" ht="24" hidden="0" customHeight="1">
      <x:c r="A45" s="100" t="n">
        <x:v>44</x:v>
      </x:c>
      <x:c r="B45" s="96" t="str">
        <x:v>PPM1B</x:v>
      </x:c>
      <x:c r="C45" s="96" t="str">
        <x:v>O75688</x:v>
      </x:c>
      <x:c r="D45" s="96" t="str">
        <x:v>5495</x:v>
      </x:c>
      <x:c r="E45" s="98" t="str">
        <x:v>Protein phosphatase 1B (EC 3.1.3.16) (Protein phosphatase 2C isoform beta) (PP2C-beta)</x:v>
      </x:c>
      <x:c r="F45" s="98" t="str">
        <x:v>PP2C family</x:v>
      </x:c>
      <x:c r="G45" s="99" t="n">
        <x:v>0.810353</x:v>
      </x:c>
      <x:c r="H45" s="96" t="str">
        <x:v>Rank21_50_extended</x:v>
      </x:c>
      <x:c r="I45" s="96" t="str">
        <x:v>Homo sapiens (Human)</x:v>
      </x:c>
      <x:c r="J45" s="96" t="n">
        <x:v>9606</x:v>
      </x:c>
      <x:c r="K45" s="98" t="str">
        <x:v>prediction_only</x:v>
      </x:c>
      <x:c r="L45" s="98" t="str">
        <x:v>Include_as_NetInfer_prediction</x:v>
      </x:c>
    </x:row>
    <x:row r="46" ht="15" hidden="0" customHeight="1">
      <x:c r="A46" s="100" t="n">
        <x:v>45</x:v>
      </x:c>
      <x:c r="B46" s="96" t="str">
        <x:v>DRD4</x:v>
      </x:c>
      <x:c r="C46" s="96" t="str">
        <x:v>P21917</x:v>
      </x:c>
      <x:c r="D46" s="96" t="str">
        <x:v>1815</x:v>
      </x:c>
      <x:c r="E46" s="98" t="str">
        <x:v>D(4) dopamine receptor (D(2C) dopamine receptor) (Dopamine D4 receptor)</x:v>
      </x:c>
      <x:c r="F46" s="98" t="str">
        <x:v>G-protein coupled receptor 1 family</x:v>
      </x:c>
      <x:c r="G46" s="99" t="n">
        <x:v>0.806715</x:v>
      </x:c>
      <x:c r="H46" s="96" t="str">
        <x:v>Rank21_50_extended</x:v>
      </x:c>
      <x:c r="I46" s="96" t="str">
        <x:v>Homo sapiens (Human)</x:v>
      </x:c>
      <x:c r="J46" s="96" t="n">
        <x:v>9606</x:v>
      </x:c>
      <x:c r="K46" s="98" t="str">
        <x:v>prediction_only</x:v>
      </x:c>
      <x:c r="L46" s="98" t="str">
        <x:v>Include_as_NetInfer_prediction</x:v>
      </x:c>
    </x:row>
    <x:row r="47" ht="15" hidden="0" customHeight="1">
      <x:c r="A47" s="100" t="n">
        <x:v>46</x:v>
      </x:c>
      <x:c r="B47" s="96" t="str">
        <x:v>NR3C1</x:v>
      </x:c>
      <x:c r="C47" s="96" t="str">
        <x:v>P04150</x:v>
      </x:c>
      <x:c r="D47" s="96" t="str">
        <x:v>2908</x:v>
      </x:c>
      <x:c r="E47" s="98" t="str">
        <x:v>Glucocorticoid receptor (GR) (Nuclear receptor subfamily 3 group C member 1)</x:v>
      </x:c>
      <x:c r="F47" s="98" t="str">
        <x:v>Nuclear hormone receptor family, NR3 subfamily</x:v>
      </x:c>
      <x:c r="G47" s="99" t="n">
        <x:v>0.804871</x:v>
      </x:c>
      <x:c r="H47" s="96" t="str">
        <x:v>Rank21_50_extended</x:v>
      </x:c>
      <x:c r="I47" s="96" t="str">
        <x:v>Homo sapiens (Human)</x:v>
      </x:c>
      <x:c r="J47" s="96" t="n">
        <x:v>9606</x:v>
      </x:c>
      <x:c r="K47" s="98" t="str">
        <x:v>prediction_only</x:v>
      </x:c>
      <x:c r="L47" s="98" t="str">
        <x:v>Include_as_NetInfer_prediction</x:v>
      </x:c>
    </x:row>
    <x:row r="48" ht="24" hidden="0" customHeight="1">
      <x:c r="A48" s="100" t="n">
        <x:v>47</x:v>
      </x:c>
      <x:c r="B48" s="96" t="str">
        <x:v>PTGFR</x:v>
      </x:c>
      <x:c r="C48" s="96" t="str">
        <x:v>P43088</x:v>
      </x:c>
      <x:c r="D48" s="96" t="str">
        <x:v>5737</x:v>
      </x:c>
      <x:c r="E48" s="98" t="str">
        <x:v>Prostaglandin F2-alpha receptor (PGF receptor) (PGF2-alpha receptor) (Prostanoid FP receptor)</x:v>
      </x:c>
      <x:c r="F48" s="98" t="str">
        <x:v>G-protein coupled receptor 1 family</x:v>
      </x:c>
      <x:c r="G48" s="99" t="n">
        <x:v>0.787381</x:v>
      </x:c>
      <x:c r="H48" s="96" t="str">
        <x:v>Rank21_50_extended</x:v>
      </x:c>
      <x:c r="I48" s="96" t="str">
        <x:v>Homo sapiens (Human)</x:v>
      </x:c>
      <x:c r="J48" s="96" t="n">
        <x:v>9606</x:v>
      </x:c>
      <x:c r="K48" s="98" t="str">
        <x:v>prediction_only</x:v>
      </x:c>
      <x:c r="L48" s="98" t="str">
        <x:v>Include_as_NetInfer_prediction</x:v>
      </x:c>
    </x:row>
    <x:row r="49" ht="36" hidden="0" customHeight="1">
      <x:c r="A49" s="100" t="n">
        <x:v>48</x:v>
      </x:c>
      <x:c r="B49" s="96" t="str">
        <x:v>SIGMAR1</x:v>
      </x:c>
      <x:c r="C49" s="96" t="str">
        <x:v>Q99720</x:v>
      </x:c>
      <x:c r="D49" s="96" t="str">
        <x:v>10280</x:v>
      </x:c>
      <x:c r="E49" s="98" t="str">
        <x:v>Sigma non-opioid intracellular receptor 1 (Aging-associated gene 8 protein) (SR31747-binding protein) (SR-BP) (Sigma 1-type opioid receptor) (SIG-1R) (Sigma1-receptor) (Sigma1R) (hSigmaR1)</x:v>
      </x:c>
      <x:c r="F49" s="98" t="str">
        <x:v>ERG2 family</x:v>
      </x:c>
      <x:c r="G49" s="99" t="n">
        <x:v>0.760891</x:v>
      </x:c>
      <x:c r="H49" s="96" t="str">
        <x:v>Rank21_50_extended</x:v>
      </x:c>
      <x:c r="I49" s="96" t="str">
        <x:v>Homo sapiens (Human)</x:v>
      </x:c>
      <x:c r="J49" s="96" t="n">
        <x:v>9606</x:v>
      </x:c>
      <x:c r="K49" s="98" t="str">
        <x:v>prediction_only</x:v>
      </x:c>
      <x:c r="L49" s="98" t="str">
        <x:v>Include_as_NetInfer_prediction</x:v>
      </x:c>
    </x:row>
    <x:row r="50" ht="24" hidden="0" customHeight="1">
      <x:c r="A50" s="100" t="n">
        <x:v>49</x:v>
      </x:c>
      <x:c r="B50" s="96" t="str">
        <x:v>DRD5</x:v>
      </x:c>
      <x:c r="C50" s="96" t="str">
        <x:v>P21918</x:v>
      </x:c>
      <x:c r="D50" s="96" t="str">
        <x:v>1816</x:v>
      </x:c>
      <x:c r="E50" s="98" t="str">
        <x:v>D(1B) dopamine receptor (D(5) dopamine receptor) (D1beta dopamine receptor) (Dopamine D5 receptor)</x:v>
      </x:c>
      <x:c r="F50" s="98" t="str">
        <x:v>G-protein coupled receptor 1 family</x:v>
      </x:c>
      <x:c r="G50" s="99" t="n">
        <x:v>0.752704</x:v>
      </x:c>
      <x:c r="H50" s="96" t="str">
        <x:v>Rank21_50_extended</x:v>
      </x:c>
      <x:c r="I50" s="96" t="str">
        <x:v>Homo sapiens (Human)</x:v>
      </x:c>
      <x:c r="J50" s="96" t="n">
        <x:v>9606</x:v>
      </x:c>
      <x:c r="K50" s="98" t="str">
        <x:v>prediction_only</x:v>
      </x:c>
      <x:c r="L50" s="98" t="str">
        <x:v>Include_as_NetInfer_prediction</x:v>
      </x:c>
    </x:row>
    <x:row r="51" ht="15" hidden="0" customHeight="1">
      <x:c r="A51" s="100" t="n">
        <x:v>50</x:v>
      </x:c>
      <x:c r="B51" s="96" t="str">
        <x:v>ADORA2A</x:v>
      </x:c>
      <x:c r="C51" s="96" t="str">
        <x:v>P29274</x:v>
      </x:c>
      <x:c r="D51" s="96" t="str">
        <x:v>135</x:v>
      </x:c>
      <x:c r="E51" s="98" t="str">
        <x:v>Adenosine receptor A2a</x:v>
      </x:c>
      <x:c r="F51" s="98" t="str">
        <x:v>G-protein coupled receptor 1 family</x:v>
      </x:c>
      <x:c r="G51" s="99" t="n">
        <x:v>0.752609</x:v>
      </x:c>
      <x:c r="H51" s="96" t="str">
        <x:v>Rank21_50_extended</x:v>
      </x:c>
      <x:c r="I51" s="96" t="str">
        <x:v>Homo sapiens (Human)</x:v>
      </x:c>
      <x:c r="J51" s="96" t="n">
        <x:v>9606</x:v>
      </x:c>
      <x:c r="K51" s="98" t="str">
        <x:v>prediction_only</x:v>
      </x:c>
      <x:c r="L51" s="98" t="str">
        <x:v>Include_as_NetInfer_prediction</x:v>
      </x:c>
    </x:row>
  </x:sheetData>
  <x:conditionalFormatting sqref="H2:H51">
    <x:cfRule type="containsText" dxfId="1" priority="1" operator="containsText" text="Top20_priority"/>
  </x:conditionalFormatting>
  <x:pageMargins left="0.7" right="0.7" top="0.75" bottom="0.75" header="0.3" footer="0.3"/>
  <x:tableParts count="1">
    <x:tablePart xmlns:r="http://schemas.openxmlformats.org/officeDocument/2006/relationships" r:id="Rbba62e0e620a4b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7" hidden="0" customWidth="1"/>
    <x:col min="5" max="5" width="58" hidden="0" customWidth="1"/>
    <x:col min="6" max="6" width="43" hidden="0" customWidth="1"/>
    <x:col min="7" max="7" width="16" hidden="0" customWidth="1"/>
    <x:col min="8" max="8" width="23" hidden="0" customWidth="1"/>
    <x:col min="9" max="9" width="22" hidden="0" customWidth="1"/>
    <x:col min="10" max="10" width="10" hidden="0" customWidth="1"/>
    <x:col min="11" max="11" width="24" hidden="0" customWidth="1"/>
    <x:col min="12" max="12" width="46" hidden="0" customWidth="1"/>
  </x:cols>
  <x:sheetData>
    <x:row r="1" ht="34" customHeight="1">
      <x:c r="A1" s="91" t="str">
        <x:v>Prediction_Rank</x:v>
      </x:c>
      <x:c r="B1" s="92" t="str">
        <x:v>Gene_Symbol</x:v>
      </x:c>
      <x:c r="C1" s="92" t="str">
        <x:v>UniProt_Accession</x:v>
      </x:c>
      <x:c r="D1" s="92" t="str">
        <x:v>Entrez_Gene_ID</x:v>
      </x:c>
      <x:c r="E1" s="92" t="str">
        <x:v>Protein_Name</x:v>
      </x:c>
      <x:c r="F1" s="92" t="str">
        <x:v>Protein_Family</x:v>
      </x:c>
      <x:c r="G1" s="92" t="str">
        <x:v>NetInfer_Score</x:v>
      </x:c>
      <x:c r="H1" s="92" t="str">
        <x:v>Rank_Layer</x:v>
      </x:c>
      <x:c r="I1" s="92" t="str">
        <x:v>Organism</x:v>
      </x:c>
      <x:c r="J1" s="92" t="str">
        <x:v>Tax_ID</x:v>
      </x:c>
      <x:c r="K1" s="92" t="str">
        <x:v>Evidence_Status</x:v>
      </x:c>
      <x:c r="L1" s="93" t="str">
        <x:v>Recommendation_For_Merge</x:v>
      </x:c>
    </x:row>
    <x:row r="2" ht="15" hidden="0" customHeight="1">
      <x:c r="A2" s="100" t="n">
        <x:v>1</x:v>
      </x:c>
      <x:c r="B2" s="96" t="str">
        <x:v>PTAFR</x:v>
      </x:c>
      <x:c r="C2" s="96" t="str">
        <x:v>P25105</x:v>
      </x:c>
      <x:c r="D2" s="96" t="str">
        <x:v>5724</x:v>
      </x:c>
      <x:c r="E2" s="98" t="str">
        <x:v>Platelet-activating factor receptor (PAF-R) (PAFr)</x:v>
      </x:c>
      <x:c r="F2" s="98" t="str">
        <x:v>G-protein coupled receptor 1 family</x:v>
      </x:c>
      <x:c r="G2" s="99" t="n">
        <x:v>2.67584</x:v>
      </x:c>
      <x:c r="H2" s="96" t="str">
        <x:v>Top20_priority</x:v>
      </x:c>
      <x:c r="I2" s="96" t="str">
        <x:v>Homo sapiens (Human)</x:v>
      </x:c>
      <x:c r="J2" s="96" t="n">
        <x:v>9606</x:v>
      </x:c>
      <x:c r="K2" s="98" t="str">
        <x:v>prediction_only</x:v>
      </x:c>
      <x:c r="L2" s="98" t="str">
        <x:v>Include_as_NetInfer_prediction</x:v>
      </x:c>
    </x:row>
    <x:row r="3" ht="15" hidden="0" customHeight="1">
      <x:c r="A3" s="100" t="n">
        <x:v>2</x:v>
      </x:c>
      <x:c r="B3" s="96" t="str">
        <x:v>DRD3</x:v>
      </x:c>
      <x:c r="C3" s="96" t="str">
        <x:v>P35462</x:v>
      </x:c>
      <x:c r="D3" s="96" t="str">
        <x:v>1814</x:v>
      </x:c>
      <x:c r="E3" s="98" t="str">
        <x:v>D(3) dopamine receptor (Dopamine D3 receptor)</x:v>
      </x:c>
      <x:c r="F3" s="98" t="str">
        <x:v>G-protein coupled receptor 1 family</x:v>
      </x:c>
      <x:c r="G3" s="99" t="n">
        <x:v>2.58939</x:v>
      </x:c>
      <x:c r="H3" s="96" t="str">
        <x:v>Top20_priority</x:v>
      </x:c>
      <x:c r="I3" s="96" t="str">
        <x:v>Homo sapiens (Human)</x:v>
      </x:c>
      <x:c r="J3" s="96" t="n">
        <x:v>9606</x:v>
      </x:c>
      <x:c r="K3" s="98" t="str">
        <x:v>prediction_only</x:v>
      </x:c>
      <x:c r="L3" s="98" t="str">
        <x:v>Include_as_NetInfer_prediction</x:v>
      </x:c>
    </x:row>
    <x:row r="4" ht="24" hidden="0" customHeight="1">
      <x:c r="A4" s="100" t="n">
        <x:v>3</x:v>
      </x:c>
      <x:c r="B4" s="96" t="str">
        <x:v>CBX1</x:v>
      </x:c>
      <x:c r="C4" s="96" t="str">
        <x:v>P83916</x:v>
      </x:c>
      <x:c r="D4" s="96" t="str">
        <x:v>10951</x:v>
      </x:c>
      <x:c r="E4" s="98" t="str">
        <x:v>Chromobox protein homolog 1 (HP1Hsbeta) (Heterochromatin protein 1 homolog beta) (HP1 beta) (Heterochromatin protein p25) (M31) (Modifier 1 protein) (p25beta)</x:v>
      </x:c>
      <x:c r="F4" s="98" t="str">
        <x:v>NA</x:v>
      </x:c>
      <x:c r="G4" s="99" t="n">
        <x:v>2.46787</x:v>
      </x:c>
      <x:c r="H4" s="96" t="str">
        <x:v>Top20_priority</x:v>
      </x:c>
      <x:c r="I4" s="96" t="str">
        <x:v>Homo sapiens (Human)</x:v>
      </x:c>
      <x:c r="J4" s="96" t="n">
        <x:v>9606</x:v>
      </x:c>
      <x:c r="K4" s="98" t="str">
        <x:v>prediction_only</x:v>
      </x:c>
      <x:c r="L4" s="98" t="str">
        <x:v>Include_as_NetInfer_prediction</x:v>
      </x:c>
    </x:row>
    <x:row r="5" ht="15" hidden="0" customHeight="1">
      <x:c r="A5" s="100" t="n">
        <x:v>4</x:v>
      </x:c>
      <x:c r="B5" s="96" t="str">
        <x:v>OPRL1</x:v>
      </x:c>
      <x:c r="C5" s="96" t="str">
        <x:v>P41146</x:v>
      </x:c>
      <x:c r="D5" s="96" t="str">
        <x:v>4987</x:v>
      </x:c>
      <x:c r="E5" s="98" t="str">
        <x:v>Nociceptin receptor (Kappa-type 3 opioid receptor) (KOR-3) (Orphanin FQ receptor)</x:v>
      </x:c>
      <x:c r="F5" s="98" t="str">
        <x:v>G-protein coupled receptor 1 family</x:v>
      </x:c>
      <x:c r="G5" s="99" t="n">
        <x:v>2.20345</x:v>
      </x:c>
      <x:c r="H5" s="96" t="str">
        <x:v>Top20_priority</x:v>
      </x:c>
      <x:c r="I5" s="96" t="str">
        <x:v>Homo sapiens (Human)</x:v>
      </x:c>
      <x:c r="J5" s="96" t="n">
        <x:v>9606</x:v>
      </x:c>
      <x:c r="K5" s="98" t="str">
        <x:v>prediction_only</x:v>
      </x:c>
      <x:c r="L5" s="98" t="str">
        <x:v>Include_as_NetInfer_prediction</x:v>
      </x:c>
    </x:row>
    <x:row r="6" ht="15" hidden="0" customHeight="1">
      <x:c r="A6" s="100" t="n">
        <x:v>5</x:v>
      </x:c>
      <x:c r="B6" s="96" t="str">
        <x:v>GPR55</x:v>
      </x:c>
      <x:c r="C6" s="96" t="str">
        <x:v>Q9Y2T6</x:v>
      </x:c>
      <x:c r="D6" s="96" t="str">
        <x:v>9290</x:v>
      </x:c>
      <x:c r="E6" s="98" t="str">
        <x:v>G-protein coupled receptor 55</x:v>
      </x:c>
      <x:c r="F6" s="98" t="str">
        <x:v>G-protein coupled receptor 1 family</x:v>
      </x:c>
      <x:c r="G6" s="99" t="n">
        <x:v>2.18895</x:v>
      </x:c>
      <x:c r="H6" s="96" t="str">
        <x:v>Top20_priority</x:v>
      </x:c>
      <x:c r="I6" s="96" t="str">
        <x:v>Homo sapiens (Human)</x:v>
      </x:c>
      <x:c r="J6" s="96" t="n">
        <x:v>9606</x:v>
      </x:c>
      <x:c r="K6" s="98" t="str">
        <x:v>prediction_only</x:v>
      </x:c>
      <x:c r="L6" s="98" t="str">
        <x:v>Include_as_NetInfer_prediction</x:v>
      </x:c>
    </x:row>
    <x:row r="7" ht="24" hidden="0" customHeight="1">
      <x:c r="A7" s="100" t="n">
        <x:v>6</x:v>
      </x:c>
      <x:c r="B7" s="96" t="str">
        <x:v>OPRM1</x:v>
      </x:c>
      <x:c r="C7" s="96" t="str">
        <x:v>P35372</x:v>
      </x:c>
      <x:c r="D7" s="96" t="str">
        <x:v>4988</x:v>
      </x:c>
      <x:c r="E7" s="98" t="str">
        <x:v>Mu-type opioid receptor (M-OR-1) (MOR-1) (Mu opiate receptor) (Mu opioid receptor) (MOP) (hMOP)</x:v>
      </x:c>
      <x:c r="F7" s="98" t="str">
        <x:v>G-protein coupled receptor 1 family</x:v>
      </x:c>
      <x:c r="G7" s="99" t="n">
        <x:v>2.06027</x:v>
      </x:c>
      <x:c r="H7" s="96" t="str">
        <x:v>Top20_priority</x:v>
      </x:c>
      <x:c r="I7" s="96" t="str">
        <x:v>Homo sapiens (Human)</x:v>
      </x:c>
      <x:c r="J7" s="96" t="n">
        <x:v>9606</x:v>
      </x:c>
      <x:c r="K7" s="98" t="str">
        <x:v>prediction_only</x:v>
      </x:c>
      <x:c r="L7" s="98" t="str">
        <x:v>Include_as_NetInfer_prediction</x:v>
      </x:c>
    </x:row>
    <x:row r="8" ht="15" hidden="0" customHeight="1">
      <x:c r="A8" s="100" t="n">
        <x:v>7</x:v>
      </x:c>
      <x:c r="B8" s="96" t="str">
        <x:v>OPRK1</x:v>
      </x:c>
      <x:c r="C8" s="96" t="str">
        <x:v>P41145</x:v>
      </x:c>
      <x:c r="D8" s="96" t="str">
        <x:v>4986</x:v>
      </x:c>
      <x:c r="E8" s="98" t="str">
        <x:v>Kappa-type opioid receptor (K-OR-1) (KOR-1)</x:v>
      </x:c>
      <x:c r="F8" s="98" t="str">
        <x:v>G-protein coupled receptor 1 family</x:v>
      </x:c>
      <x:c r="G8" s="99" t="n">
        <x:v>1.89741</x:v>
      </x:c>
      <x:c r="H8" s="96" t="str">
        <x:v>Top20_priority</x:v>
      </x:c>
      <x:c r="I8" s="96" t="str">
        <x:v>Homo sapiens (Human)</x:v>
      </x:c>
      <x:c r="J8" s="96" t="n">
        <x:v>9606</x:v>
      </x:c>
      <x:c r="K8" s="98" t="str">
        <x:v>prediction_only</x:v>
      </x:c>
      <x:c r="L8" s="98" t="str">
        <x:v>Include_as_NetInfer_prediction</x:v>
      </x:c>
    </x:row>
    <x:row r="9" ht="24" hidden="0" customHeight="1">
      <x:c r="A9" s="100" t="n">
        <x:v>8</x:v>
      </x:c>
      <x:c r="B9" s="96" t="str">
        <x:v>AR</x:v>
      </x:c>
      <x:c r="C9" s="96" t="str">
        <x:v>P10275</x:v>
      </x:c>
      <x:c r="D9" s="96" t="str">
        <x:v>367</x:v>
      </x:c>
      <x:c r="E9" s="98" t="str">
        <x:v>Androgen receptor (Dihydrotestosterone receptor) (Nuclear receptor subfamily 3 group C member 4)</x:v>
      </x:c>
      <x:c r="F9" s="98" t="str">
        <x:v>Nuclear hormone receptor family, NR3 subfamily</x:v>
      </x:c>
      <x:c r="G9" s="99" t="n">
        <x:v>1.83044</x:v>
      </x:c>
      <x:c r="H9" s="96" t="str">
        <x:v>Top20_priority</x:v>
      </x:c>
      <x:c r="I9" s="96" t="str">
        <x:v>Homo sapiens (Human)</x:v>
      </x:c>
      <x:c r="J9" s="96" t="n">
        <x:v>9606</x:v>
      </x:c>
      <x:c r="K9" s="98" t="str">
        <x:v>prediction_only</x:v>
      </x:c>
      <x:c r="L9" s="98" t="str">
        <x:v>Include_as_NetInfer_prediction</x:v>
      </x:c>
    </x:row>
    <x:row r="10" ht="48" hidden="0" customHeight="1">
      <x:c r="A10" s="100" t="n">
        <x:v>9</x:v>
      </x:c>
      <x:c r="B10" s="96" t="str">
        <x:v>OGA</x:v>
      </x:c>
      <x:c r="C10" s="96" t="str">
        <x:v>O60502</x:v>
      </x:c>
      <x:c r="D10" s="96" t="str">
        <x:v>10724</x:v>
      </x:c>
      <x:c r="E10" s="98" t="str">
        <x:v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x:v>
      </x:c>
      <x:c r="F10" s="98" t="str">
        <x:v>Glycosyl hydrolase 84 family</x:v>
      </x:c>
      <x:c r="G10" s="99" t="n">
        <x:v>1.73241</x:v>
      </x:c>
      <x:c r="H10" s="96" t="str">
        <x:v>Top20_priority</x:v>
      </x:c>
      <x:c r="I10" s="96" t="str">
        <x:v>Homo sapiens (Human)</x:v>
      </x:c>
      <x:c r="J10" s="96" t="n">
        <x:v>9606</x:v>
      </x:c>
      <x:c r="K10" s="98" t="str">
        <x:v>prediction_only</x:v>
      </x:c>
      <x:c r="L10" s="98" t="str">
        <x:v>Include_as_NetInfer_prediction</x:v>
      </x:c>
    </x:row>
    <x:row r="11" ht="36" hidden="0" customHeight="1">
      <x:c r="A11" s="100" t="n">
        <x:v>10</x:v>
      </x:c>
      <x:c r="B11" s="96" t="str">
        <x:v>SHBG</x:v>
      </x:c>
      <x:c r="C11" s="96" t="str">
        <x:v>P04278</x:v>
      </x:c>
      <x:c r="D11" s="96" t="str">
        <x:v>6462</x:v>
      </x:c>
      <x:c r="E11" s="98" t="str">
        <x:v>Sex hormone-binding globulin (SHBG) (Sex steroid-binding protein) (SBP) (Testis-specific androgen-binding protein) (ABP) (Testosterone-estradiol-binding globulin) (TeBG) (Testosterone-estrogen-binding globulin)</x:v>
      </x:c>
      <x:c r="F11" s="98" t="str">
        <x:v>NA</x:v>
      </x:c>
      <x:c r="G11" s="99" t="n">
        <x:v>1.65222</x:v>
      </x:c>
      <x:c r="H11" s="96" t="str">
        <x:v>Top20_priority</x:v>
      </x:c>
      <x:c r="I11" s="96" t="str">
        <x:v>Homo sapiens (Human)</x:v>
      </x:c>
      <x:c r="J11" s="96" t="n">
        <x:v>9606</x:v>
      </x:c>
      <x:c r="K11" s="98" t="str">
        <x:v>prediction_only</x:v>
      </x:c>
      <x:c r="L11" s="98" t="str">
        <x:v>Include_as_NetInfer_prediction</x:v>
      </x:c>
    </x:row>
    <x:row r="12" ht="36" hidden="0" customHeight="1">
      <x:c r="A12" s="100" t="n">
        <x:v>11</x:v>
      </x:c>
      <x:c r="B12" s="96" t="str">
        <x:v>CHRNA10</x:v>
      </x:c>
      <x:c r="C12" s="96" t="str">
        <x:v>Q9GZZ6</x:v>
      </x:c>
      <x:c r="D12" s="96" t="str">
        <x:v>57053</x:v>
      </x:c>
      <x:c r="E12" s="98" t="str">
        <x:v>Neuronal acetylcholine receptor subunit alpha-10 (Nicotinic acetylcholine receptor subunit alpha-10) (NACHR alpha-10)</x:v>
      </x:c>
      <x:c r="F12" s="98" t="str">
        <x:v>Ligand-gated ion channel (TC 1.A.9) family, Acetylcholine receptor (TC 1.A.9.1) subfamily, Alpha-10/CHRNA10 sub-subfamily</x:v>
      </x:c>
      <x:c r="G12" s="99" t="n">
        <x:v>1.64045</x:v>
      </x:c>
      <x:c r="H12" s="96" t="str">
        <x:v>Top20_priority</x:v>
      </x:c>
      <x:c r="I12" s="96" t="str">
        <x:v>Homo sapiens (Human)</x:v>
      </x:c>
      <x:c r="J12" s="96" t="n">
        <x:v>9606</x:v>
      </x:c>
      <x:c r="K12" s="98" t="str">
        <x:v>prediction_only</x:v>
      </x:c>
      <x:c r="L12" s="98" t="str">
        <x:v>Include_as_NetInfer_prediction</x:v>
      </x:c>
    </x:row>
    <x:row r="13" ht="36" hidden="0" customHeight="1">
      <x:c r="A13" s="100" t="n">
        <x:v>12</x:v>
      </x:c>
      <x:c r="B13" s="96" t="str">
        <x:v>CHRNA9</x:v>
      </x:c>
      <x:c r="C13" s="96" t="str">
        <x:v>Q9UGM1</x:v>
      </x:c>
      <x:c r="D13" s="96" t="str">
        <x:v>55584</x:v>
      </x:c>
      <x:c r="E13" s="98" t="str">
        <x:v>Neuronal acetylcholine receptor subunit alpha-9 (Nicotinic acetylcholine receptor subunit alpha-9) (NACHR alpha-9)</x:v>
      </x:c>
      <x:c r="F13" s="98" t="str">
        <x:v>Ligand-gated ion channel (TC 1.A.9) family, Acetylcholine receptor (TC 1.A.9.1) subfamily, Alpha-9/CHRNA9 sub-subfamily</x:v>
      </x:c>
      <x:c r="G13" s="99" t="n">
        <x:v>1.64045</x:v>
      </x:c>
      <x:c r="H13" s="96" t="str">
        <x:v>Top20_priority</x:v>
      </x:c>
      <x:c r="I13" s="96" t="str">
        <x:v>Homo sapiens (Human)</x:v>
      </x:c>
      <x:c r="J13" s="96" t="n">
        <x:v>9606</x:v>
      </x:c>
      <x:c r="K13" s="98" t="str">
        <x:v>prediction_only</x:v>
      </x:c>
      <x:c r="L13" s="98" t="str">
        <x:v>Include_as_NetInfer_prediction</x:v>
      </x:c>
    </x:row>
    <x:row r="14" ht="24" hidden="0" customHeight="1">
      <x:c r="A14" s="100" t="n">
        <x:v>13</x:v>
      </x:c>
      <x:c r="B14" s="96" t="str">
        <x:v>HMGCR</x:v>
      </x:c>
      <x:c r="C14" s="96" t="str">
        <x:v>P04035</x:v>
      </x:c>
      <x:c r="D14" s="96" t="str">
        <x:v>3156</x:v>
      </x:c>
      <x:c r="E14" s="98" t="str">
        <x:v>3-hydroxy-3-methylglutaryl-coenzyme A reductase (HMG-CoA reductase) (EC 1.1.1.34)</x:v>
      </x:c>
      <x:c r="F14" s="98" t="str">
        <x:v>HMG-CoA reductase family</x:v>
      </x:c>
      <x:c r="G14" s="99" t="n">
        <x:v>1.60169</x:v>
      </x:c>
      <x:c r="H14" s="96" t="str">
        <x:v>Top20_priority</x:v>
      </x:c>
      <x:c r="I14" s="96" t="str">
        <x:v>Homo sapiens (Human)</x:v>
      </x:c>
      <x:c r="J14" s="96" t="n">
        <x:v>9606</x:v>
      </x:c>
      <x:c r="K14" s="98" t="str">
        <x:v>prediction_only</x:v>
      </x:c>
      <x:c r="L14" s="98" t="str">
        <x:v>Include_as_NetInfer_prediction</x:v>
      </x:c>
    </x:row>
    <x:row r="15" ht="24" hidden="0" customHeight="1">
      <x:c r="A15" s="100" t="n">
        <x:v>14</x:v>
      </x:c>
      <x:c r="B15" s="96" t="str">
        <x:v>STS</x:v>
      </x:c>
      <x:c r="C15" s="96" t="str">
        <x:v>P08842</x:v>
      </x:c>
      <x:c r="D15" s="96" t="str">
        <x:v>412</x:v>
      </x:c>
      <x:c r="E15" s="98" t="str">
        <x:v>Steryl-sulfatase (EC 3.1.6.2) (Arylsulfatase C) (ASC) (Steroid sulfatase) (Steryl-sulfate sulfohydrolase)</x:v>
      </x:c>
      <x:c r="F15" s="98" t="str">
        <x:v>Sulfatase family</x:v>
      </x:c>
      <x:c r="G15" s="99" t="n">
        <x:v>1.52669</x:v>
      </x:c>
      <x:c r="H15" s="96" t="str">
        <x:v>Top20_priority</x:v>
      </x:c>
      <x:c r="I15" s="96" t="str">
        <x:v>Homo sapiens (Human)</x:v>
      </x:c>
      <x:c r="J15" s="96" t="n">
        <x:v>9606</x:v>
      </x:c>
      <x:c r="K15" s="98" t="str">
        <x:v>prediction_only</x:v>
      </x:c>
      <x:c r="L15" s="98" t="str">
        <x:v>Include_as_NetInfer_prediction</x:v>
      </x:c>
    </x:row>
    <x:row r="16" ht="15" hidden="0" customHeight="1">
      <x:c r="A16" s="100" t="n">
        <x:v>15</x:v>
      </x:c>
      <x:c r="B16" s="96" t="str">
        <x:v>CNR1</x:v>
      </x:c>
      <x:c r="C16" s="96" t="str">
        <x:v>P21554</x:v>
      </x:c>
      <x:c r="D16" s="96" t="str">
        <x:v>1268</x:v>
      </x:c>
      <x:c r="E16" s="98" t="str">
        <x:v>Cannabinoid receptor 1 (CB-R) (CB1) (CANN6)</x:v>
      </x:c>
      <x:c r="F16" s="98" t="str">
        <x:v>G-protein coupled receptor 1 family</x:v>
      </x:c>
      <x:c r="G16" s="99" t="n">
        <x:v>1.47848</x:v>
      </x:c>
      <x:c r="H16" s="96" t="str">
        <x:v>Top20_priority</x:v>
      </x:c>
      <x:c r="I16" s="96" t="str">
        <x:v>Homo sapiens (Human)</x:v>
      </x:c>
      <x:c r="J16" s="96" t="n">
        <x:v>9606</x:v>
      </x:c>
      <x:c r="K16" s="98" t="str">
        <x:v>prediction_only</x:v>
      </x:c>
      <x:c r="L16" s="98" t="str">
        <x:v>Include_as_NetInfer_prediction</x:v>
      </x:c>
    </x:row>
    <x:row r="17" ht="15" hidden="0" customHeight="1">
      <x:c r="A17" s="100" t="n">
        <x:v>16</x:v>
      </x:c>
      <x:c r="B17" s="96" t="str">
        <x:v>REN</x:v>
      </x:c>
      <x:c r="C17" s="96" t="str">
        <x:v>P00797</x:v>
      </x:c>
      <x:c r="D17" s="96" t="str">
        <x:v>5972</x:v>
      </x:c>
      <x:c r="E17" s="98" t="str">
        <x:v>Renin (EC 3.4.23.15) (Angiotensinogenase)</x:v>
      </x:c>
      <x:c r="F17" s="98" t="str">
        <x:v>Peptidase A1 family</x:v>
      </x:c>
      <x:c r="G17" s="99" t="n">
        <x:v>1.47225</x:v>
      </x:c>
      <x:c r="H17" s="96" t="str">
        <x:v>Top20_priority</x:v>
      </x:c>
      <x:c r="I17" s="96" t="str">
        <x:v>Homo sapiens (Human)</x:v>
      </x:c>
      <x:c r="J17" s="96" t="n">
        <x:v>9606</x:v>
      </x:c>
      <x:c r="K17" s="98" t="str">
        <x:v>prediction_only</x:v>
      </x:c>
      <x:c r="L17" s="98" t="str">
        <x:v>Include_as_NetInfer_prediction</x:v>
      </x:c>
    </x:row>
    <x:row r="18" ht="24" hidden="0" customHeight="1">
      <x:c r="A18" s="100" t="n">
        <x:v>17</x:v>
      </x:c>
      <x:c r="B18" s="96" t="str">
        <x:v>MVD</x:v>
      </x:c>
      <x:c r="C18" s="96" t="str">
        <x:v>P53602</x:v>
      </x:c>
      <x:c r="D18" s="96" t="str">
        <x:v>4597</x:v>
      </x:c>
      <x:c r="E18" s="98" t="str">
        <x:v>Diphosphomevalonate decarboxylase (EC 4.1.1.33) (Mevalonate (diphospho)decarboxylase) (MDDase) (Mevalonate pyrophosphate decarboxylase)</x:v>
      </x:c>
      <x:c r="F18" s="98" t="str">
        <x:v>Diphosphomevalonate decarboxylase family</x:v>
      </x:c>
      <x:c r="G18" s="99" t="n">
        <x:v>1.44222</x:v>
      </x:c>
      <x:c r="H18" s="96" t="str">
        <x:v>Top20_priority</x:v>
      </x:c>
      <x:c r="I18" s="96" t="str">
        <x:v>Homo sapiens (Human)</x:v>
      </x:c>
      <x:c r="J18" s="96" t="n">
        <x:v>9606</x:v>
      </x:c>
      <x:c r="K18" s="98" t="str">
        <x:v>prediction_only</x:v>
      </x:c>
      <x:c r="L18" s="98" t="str">
        <x:v>Include_as_NetInfer_prediction</x:v>
      </x:c>
    </x:row>
    <x:row r="19" ht="36" hidden="0" customHeight="1">
      <x:c r="A19" s="100" t="n">
        <x:v>18</x:v>
      </x:c>
      <x:c r="B19" s="96" t="str">
        <x:v>GLO1</x:v>
      </x:c>
      <x:c r="C19" s="96" t="str">
        <x:v>Q04760</x:v>
      </x:c>
      <x:c r="D19" s="96" t="str">
        <x:v>2739</x:v>
      </x:c>
      <x:c r="E19" s="98" t="str">
        <x:v>Lactoylglutathione lyase (EC 4.4.1.5) (Aldoketomutase) (Glyoxalase I) (Glx I) (Ketone-aldehyde mutase) (Methylglyoxalase) (S-D-lactoylglutathione methylglyoxal lyase)</x:v>
      </x:c>
      <x:c r="F19" s="98" t="str">
        <x:v>Glyoxalase I family</x:v>
      </x:c>
      <x:c r="G19" s="99" t="n">
        <x:v>1.38483</x:v>
      </x:c>
      <x:c r="H19" s="96" t="str">
        <x:v>Top20_priority</x:v>
      </x:c>
      <x:c r="I19" s="96" t="str">
        <x:v>Homo sapiens (Human)</x:v>
      </x:c>
      <x:c r="J19" s="96" t="n">
        <x:v>9606</x:v>
      </x:c>
      <x:c r="K19" s="98" t="str">
        <x:v>prediction_only</x:v>
      </x:c>
      <x:c r="L19" s="98" t="str">
        <x:v>Include_as_NetInfer_prediction</x:v>
      </x:c>
    </x:row>
    <x:row r="20" ht="15" hidden="0" customHeight="1">
      <x:c r="A20" s="100" t="n">
        <x:v>19</x:v>
      </x:c>
      <x:c r="B20" s="96" t="str">
        <x:v>PGR</x:v>
      </x:c>
      <x:c r="C20" s="96" t="str">
        <x:v>P06401</x:v>
      </x:c>
      <x:c r="D20" s="96" t="str">
        <x:v>5241</x:v>
      </x:c>
      <x:c r="E20" s="98" t="str">
        <x:v>Progesterone receptor (PR) (Nuclear receptor subfamily 3 group C member 3)</x:v>
      </x:c>
      <x:c r="F20" s="98" t="str">
        <x:v>Nuclear hormone receptor family, NR3 subfamily</x:v>
      </x:c>
      <x:c r="G20" s="99" t="n">
        <x:v>1.29916</x:v>
      </x:c>
      <x:c r="H20" s="96" t="str">
        <x:v>Top20_priority</x:v>
      </x:c>
      <x:c r="I20" s="96" t="str">
        <x:v>Homo sapiens (Human)</x:v>
      </x:c>
      <x:c r="J20" s="96" t="n">
        <x:v>9606</x:v>
      </x:c>
      <x:c r="K20" s="98" t="str">
        <x:v>prediction_only</x:v>
      </x:c>
      <x:c r="L20" s="98" t="str">
        <x:v>Include_as_NetInfer_prediction</x:v>
      </x:c>
    </x:row>
    <x:row r="21" ht="15" hidden="0" customHeight="1">
      <x:c r="A21" s="100" t="n">
        <x:v>20</x:v>
      </x:c>
      <x:c r="B21" s="96" t="str">
        <x:v>BTN3A1</x:v>
      </x:c>
      <x:c r="C21" s="96" t="str">
        <x:v>O00481</x:v>
      </x:c>
      <x:c r="D21" s="96" t="str">
        <x:v>11119</x:v>
      </x:c>
      <x:c r="E21" s="98" t="str">
        <x:v>Butyrophilin subfamily 3 member A1 (CD antigen CD277)</x:v>
      </x:c>
      <x:c r="F21" s="98" t="str">
        <x:v>Immunoglobulin superfamily, BTN/MOG family</x:v>
      </x:c>
      <x:c r="G21" s="99" t="n">
        <x:v>1.26933</x:v>
      </x:c>
      <x:c r="H21" s="96" t="str">
        <x:v>Top20_priority</x:v>
      </x:c>
      <x:c r="I21" s="96" t="str">
        <x:v>Homo sapiens (Human)</x:v>
      </x:c>
      <x:c r="J21" s="96" t="n">
        <x:v>9606</x:v>
      </x:c>
      <x:c r="K21" s="98" t="str">
        <x:v>prediction_only</x:v>
      </x:c>
      <x:c r="L21" s="98" t="str">
        <x:v>Include_as_NetInfer_prediction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ceb57100986440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7" hidden="0" customWidth="1"/>
    <x:col min="5" max="5" width="52" hidden="0" customWidth="1"/>
    <x:col min="6" max="6" width="42" hidden="0" customWidth="1"/>
    <x:col min="7" max="7" width="16" hidden="0" customWidth="1"/>
    <x:col min="8" max="8" width="28" hidden="0" customWidth="1"/>
    <x:col min="9" max="9" width="40" hidden="0" customWidth="1"/>
    <x:col min="10" max="10" width="55" hidden="0" customWidth="1"/>
    <x:col min="11" max="11" width="22" hidden="0" customWidth="1"/>
    <x:col min="12" max="12" width="10" hidden="0" customWidth="1"/>
  </x:cols>
  <x:sheetData>
    <x:row r="1" ht="34" customHeight="1">
      <x:c r="A1" s="91" t="str">
        <x:v>Rank_Raw</x:v>
      </x:c>
      <x:c r="B1" s="92" t="str">
        <x:v>Gene_Symbol</x:v>
      </x:c>
      <x:c r="C1" s="92" t="str">
        <x:v>UniProt_Accession</x:v>
      </x:c>
      <x:c r="D1" s="92" t="str">
        <x:v>Entrez_Gene_ID</x:v>
      </x:c>
      <x:c r="E1" s="92" t="str">
        <x:v>Protein_Name</x:v>
      </x:c>
      <x:c r="F1" s="92" t="str">
        <x:v>Protein_Family</x:v>
      </x:c>
      <x:c r="G1" s="92" t="str">
        <x:v>NetInfer_Score</x:v>
      </x:c>
      <x:c r="H1" s="92" t="str">
        <x:v>Record_Class</x:v>
      </x:c>
      <x:c r="I1" s="92" t="str">
        <x:v>Evidence_Status</x:v>
      </x:c>
      <x:c r="J1" s="92" t="str">
        <x:v>Recommendation_For_Merge</x:v>
      </x:c>
      <x:c r="K1" s="92" t="str">
        <x:v>Organism</x:v>
      </x:c>
      <x:c r="L1" s="93" t="str">
        <x:v>Tax_ID</x:v>
      </x:c>
    </x:row>
    <x:row r="2" ht="24" hidden="0" customHeight="1">
      <x:c r="A2" s="103" t="str">
        <x:v>Known</x:v>
      </x:c>
      <x:c r="B2" s="103" t="str">
        <x:v>GLRA2</x:v>
      </x:c>
      <x:c r="C2" s="103" t="str">
        <x:v>P23416</x:v>
      </x:c>
      <x:c r="D2" s="103" t="str">
        <x:v>2742</x:v>
      </x:c>
      <x:c r="E2" s="103" t="str">
        <x:v>Glycine receptor subunit alpha-2</x:v>
      </x:c>
      <x:c r="F2" s="103" t="str">
        <x:v>Ligand-gated ion channel (TC 1.A.9) family, Glycine receptor (TC 1.A.9.3) subfamily, GLRA2 sub-subfamily</x:v>
      </x:c>
      <x:c r="G2" s="105" t="n">
        <x:v>0.347287</x:v>
      </x:c>
      <x:c r="H2" s="103" t="str">
        <x:v>Known_Network_Reference</x:v>
      </x:c>
      <x:c r="I2" s="103" t="str">
        <x:v>platform_known_reference_not_new_prediction</x:v>
      </x:c>
      <x:c r="J2" s="103" t="str">
        <x:v>Exclude_from_NetInfer_prediction_merge; handle as separate known evidence</x:v>
      </x:c>
      <x:c r="K2" s="103" t="str">
        <x:v>Homo sapiens (Human)</x:v>
      </x:c>
      <x:c r="L2" s="103" t="n">
        <x:v>9606</x:v>
      </x:c>
    </x:row>
  </x:sheetData>
  <x:pageMargins left="0.7" right="0.7" top="0.75" bottom="0.75" header="0.3" footer="0.3"/>
  <x:tableParts count="1">
    <x:tablePart xmlns:r="http://schemas.openxmlformats.org/officeDocument/2006/relationships" r:id="R260c94f8327b43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58" hidden="0" customWidth="1"/>
    <x:col min="5" max="5" width="43" hidden="0" customWidth="1"/>
    <x:col min="6" max="6" width="16" hidden="0" customWidth="1"/>
    <x:col min="7" max="7" width="16" hidden="0" customWidth="1"/>
    <x:col min="8" max="8" width="23" hidden="0" customWidth="1"/>
    <x:col min="9" max="9" width="22" hidden="0" customWidth="1"/>
    <x:col min="10" max="10" width="10" hidden="0" customWidth="1"/>
    <x:col min="11" max="11" width="24" hidden="0" customWidth="1"/>
    <x:col min="12" max="12" width="46" hidden="0" customWidth="1"/>
  </x:cols>
  <x:sheetData>
    <x:row r="1" ht="34" customHeight="1">
      <x:c r="A1" s="91" t="str">
        <x:v>Gene_Symbol</x:v>
      </x:c>
      <x:c r="B1" s="92" t="str">
        <x:v>UniProt_Accession</x:v>
      </x:c>
      <x:c r="C1" s="92" t="str">
        <x:v>Entrez_Gene_ID</x:v>
      </x:c>
      <x:c r="D1" s="92" t="str">
        <x:v>Protein_Name</x:v>
      </x:c>
      <x:c r="E1" s="92" t="str">
        <x:v>Protein_Family</x:v>
      </x:c>
      <x:c r="F1" s="92" t="str">
        <x:v>NetInfer_Score</x:v>
      </x:c>
      <x:c r="G1" s="92" t="str">
        <x:v>Prediction_Rank</x:v>
      </x:c>
      <x:c r="H1" s="92" t="str">
        <x:v>Rank_Layer</x:v>
      </x:c>
      <x:c r="I1" s="92" t="str">
        <x:v>Organism</x:v>
      </x:c>
      <x:c r="J1" s="92" t="str">
        <x:v>Tax_ID</x:v>
      </x:c>
      <x:c r="K1" s="92" t="str">
        <x:v>Evidence_Status</x:v>
      </x:c>
      <x:c r="L1" s="93" t="str">
        <x:v>Recommendation_For_Merge</x:v>
      </x:c>
    </x:row>
    <x:row r="2" ht="15" hidden="0" customHeight="1">
      <x:c r="A2" s="96" t="str">
        <x:v>PTAFR</x:v>
      </x:c>
      <x:c r="B2" s="96" t="str">
        <x:v>P25105</x:v>
      </x:c>
      <x:c r="C2" s="96" t="str">
        <x:v>5724</x:v>
      </x:c>
      <x:c r="D2" s="98" t="str">
        <x:v>Platelet-activating factor receptor (PAF-R) (PAFr)</x:v>
      </x:c>
      <x:c r="E2" s="98" t="str">
        <x:v>G-protein coupled receptor 1 family</x:v>
      </x:c>
      <x:c r="F2" s="99" t="n">
        <x:v>2.67584</x:v>
      </x:c>
      <x:c r="G2" s="100" t="n">
        <x:v>1</x:v>
      </x:c>
      <x:c r="H2" s="96" t="str">
        <x:v>Top20_priority</x:v>
      </x:c>
      <x:c r="I2" s="96" t="str">
        <x:v>Homo sapiens (Human)</x:v>
      </x:c>
      <x:c r="J2" s="96" t="n">
        <x:v>9606</x:v>
      </x:c>
      <x:c r="K2" s="98" t="str">
        <x:v>prediction_only</x:v>
      </x:c>
      <x:c r="L2" s="98" t="str">
        <x:v>Include_as_NetInfer_prediction</x:v>
      </x:c>
    </x:row>
    <x:row r="3" ht="15" hidden="0" customHeight="1">
      <x:c r="A3" s="96" t="str">
        <x:v>DRD3</x:v>
      </x:c>
      <x:c r="B3" s="96" t="str">
        <x:v>P35462</x:v>
      </x:c>
      <x:c r="C3" s="96" t="str">
        <x:v>1814</x:v>
      </x:c>
      <x:c r="D3" s="98" t="str">
        <x:v>D(3) dopamine receptor (Dopamine D3 receptor)</x:v>
      </x:c>
      <x:c r="E3" s="98" t="str">
        <x:v>G-protein coupled receptor 1 family</x:v>
      </x:c>
      <x:c r="F3" s="99" t="n">
        <x:v>2.58939</x:v>
      </x:c>
      <x:c r="G3" s="100" t="n">
        <x:v>2</x:v>
      </x:c>
      <x:c r="H3" s="96" t="str">
        <x:v>Top20_priority</x:v>
      </x:c>
      <x:c r="I3" s="96" t="str">
        <x:v>Homo sapiens (Human)</x:v>
      </x:c>
      <x:c r="J3" s="96" t="n">
        <x:v>9606</x:v>
      </x:c>
      <x:c r="K3" s="98" t="str">
        <x:v>prediction_only</x:v>
      </x:c>
      <x:c r="L3" s="98" t="str">
        <x:v>Include_as_NetInfer_prediction</x:v>
      </x:c>
    </x:row>
    <x:row r="4" ht="24" hidden="0" customHeight="1">
      <x:c r="A4" s="96" t="str">
        <x:v>CBX1</x:v>
      </x:c>
      <x:c r="B4" s="96" t="str">
        <x:v>P83916</x:v>
      </x:c>
      <x:c r="C4" s="96" t="str">
        <x:v>10951</x:v>
      </x:c>
      <x:c r="D4" s="98" t="str">
        <x:v>Chromobox protein homolog 1 (HP1Hsbeta) (Heterochromatin protein 1 homolog beta) (HP1 beta) (Heterochromatin protein p25) (M31) (Modifier 1 protein) (p25beta)</x:v>
      </x:c>
      <x:c r="E4" s="98" t="str">
        <x:v>NA</x:v>
      </x:c>
      <x:c r="F4" s="99" t="n">
        <x:v>2.46787</x:v>
      </x:c>
      <x:c r="G4" s="100" t="n">
        <x:v>3</x:v>
      </x:c>
      <x:c r="H4" s="96" t="str">
        <x:v>Top20_priority</x:v>
      </x:c>
      <x:c r="I4" s="96" t="str">
        <x:v>Homo sapiens (Human)</x:v>
      </x:c>
      <x:c r="J4" s="96" t="n">
        <x:v>9606</x:v>
      </x:c>
      <x:c r="K4" s="98" t="str">
        <x:v>prediction_only</x:v>
      </x:c>
      <x:c r="L4" s="98" t="str">
        <x:v>Include_as_NetInfer_prediction</x:v>
      </x:c>
    </x:row>
    <x:row r="5" ht="15" hidden="0" customHeight="1">
      <x:c r="A5" s="96" t="str">
        <x:v>OPRL1</x:v>
      </x:c>
      <x:c r="B5" s="96" t="str">
        <x:v>P41146</x:v>
      </x:c>
      <x:c r="C5" s="96" t="str">
        <x:v>4987</x:v>
      </x:c>
      <x:c r="D5" s="98" t="str">
        <x:v>Nociceptin receptor (Kappa-type 3 opioid receptor) (KOR-3) (Orphanin FQ receptor)</x:v>
      </x:c>
      <x:c r="E5" s="98" t="str">
        <x:v>G-protein coupled receptor 1 family</x:v>
      </x:c>
      <x:c r="F5" s="99" t="n">
        <x:v>2.20345</x:v>
      </x:c>
      <x:c r="G5" s="100" t="n">
        <x:v>4</x:v>
      </x:c>
      <x:c r="H5" s="96" t="str">
        <x:v>Top20_priority</x:v>
      </x:c>
      <x:c r="I5" s="96" t="str">
        <x:v>Homo sapiens (Human)</x:v>
      </x:c>
      <x:c r="J5" s="96" t="n">
        <x:v>9606</x:v>
      </x:c>
      <x:c r="K5" s="98" t="str">
        <x:v>prediction_only</x:v>
      </x:c>
      <x:c r="L5" s="98" t="str">
        <x:v>Include_as_NetInfer_prediction</x:v>
      </x:c>
    </x:row>
    <x:row r="6" ht="15" hidden="0" customHeight="1">
      <x:c r="A6" s="96" t="str">
        <x:v>GPR55</x:v>
      </x:c>
      <x:c r="B6" s="96" t="str">
        <x:v>Q9Y2T6</x:v>
      </x:c>
      <x:c r="C6" s="96" t="str">
        <x:v>9290</x:v>
      </x:c>
      <x:c r="D6" s="98" t="str">
        <x:v>G-protein coupled receptor 55</x:v>
      </x:c>
      <x:c r="E6" s="98" t="str">
        <x:v>G-protein coupled receptor 1 family</x:v>
      </x:c>
      <x:c r="F6" s="99" t="n">
        <x:v>2.18895</x:v>
      </x:c>
      <x:c r="G6" s="100" t="n">
        <x:v>5</x:v>
      </x:c>
      <x:c r="H6" s="96" t="str">
        <x:v>Top20_priority</x:v>
      </x:c>
      <x:c r="I6" s="96" t="str">
        <x:v>Homo sapiens (Human)</x:v>
      </x:c>
      <x:c r="J6" s="96" t="n">
        <x:v>9606</x:v>
      </x:c>
      <x:c r="K6" s="98" t="str">
        <x:v>prediction_only</x:v>
      </x:c>
      <x:c r="L6" s="98" t="str">
        <x:v>Include_as_NetInfer_prediction</x:v>
      </x:c>
    </x:row>
    <x:row r="7" ht="24" hidden="0" customHeight="1">
      <x:c r="A7" s="96" t="str">
        <x:v>OPRM1</x:v>
      </x:c>
      <x:c r="B7" s="96" t="str">
        <x:v>P35372</x:v>
      </x:c>
      <x:c r="C7" s="96" t="str">
        <x:v>4988</x:v>
      </x:c>
      <x:c r="D7" s="98" t="str">
        <x:v>Mu-type opioid receptor (M-OR-1) (MOR-1) (Mu opiate receptor) (Mu opioid receptor) (MOP) (hMOP)</x:v>
      </x:c>
      <x:c r="E7" s="98" t="str">
        <x:v>G-protein coupled receptor 1 family</x:v>
      </x:c>
      <x:c r="F7" s="99" t="n">
        <x:v>2.06027</x:v>
      </x:c>
      <x:c r="G7" s="100" t="n">
        <x:v>6</x:v>
      </x:c>
      <x:c r="H7" s="96" t="str">
        <x:v>Top20_priority</x:v>
      </x:c>
      <x:c r="I7" s="96" t="str">
        <x:v>Homo sapiens (Human)</x:v>
      </x:c>
      <x:c r="J7" s="96" t="n">
        <x:v>9606</x:v>
      </x:c>
      <x:c r="K7" s="98" t="str">
        <x:v>prediction_only</x:v>
      </x:c>
      <x:c r="L7" s="98" t="str">
        <x:v>Include_as_NetInfer_prediction</x:v>
      </x:c>
    </x:row>
    <x:row r="8" ht="15" hidden="0" customHeight="1">
      <x:c r="A8" s="96" t="str">
        <x:v>OPRK1</x:v>
      </x:c>
      <x:c r="B8" s="96" t="str">
        <x:v>P41145</x:v>
      </x:c>
      <x:c r="C8" s="96" t="str">
        <x:v>4986</x:v>
      </x:c>
      <x:c r="D8" s="98" t="str">
        <x:v>Kappa-type opioid receptor (K-OR-1) (KOR-1)</x:v>
      </x:c>
      <x:c r="E8" s="98" t="str">
        <x:v>G-protein coupled receptor 1 family</x:v>
      </x:c>
      <x:c r="F8" s="99" t="n">
        <x:v>1.89741</x:v>
      </x:c>
      <x:c r="G8" s="100" t="n">
        <x:v>7</x:v>
      </x:c>
      <x:c r="H8" s="96" t="str">
        <x:v>Top20_priority</x:v>
      </x:c>
      <x:c r="I8" s="96" t="str">
        <x:v>Homo sapiens (Human)</x:v>
      </x:c>
      <x:c r="J8" s="96" t="n">
        <x:v>9606</x:v>
      </x:c>
      <x:c r="K8" s="98" t="str">
        <x:v>prediction_only</x:v>
      </x:c>
      <x:c r="L8" s="98" t="str">
        <x:v>Include_as_NetInfer_prediction</x:v>
      </x:c>
    </x:row>
    <x:row r="9" ht="24" hidden="0" customHeight="1">
      <x:c r="A9" s="96" t="str">
        <x:v>AR</x:v>
      </x:c>
      <x:c r="B9" s="96" t="str">
        <x:v>P10275</x:v>
      </x:c>
      <x:c r="C9" s="96" t="str">
        <x:v>367</x:v>
      </x:c>
      <x:c r="D9" s="98" t="str">
        <x:v>Androgen receptor (Dihydrotestosterone receptor) (Nuclear receptor subfamily 3 group C member 4)</x:v>
      </x:c>
      <x:c r="E9" s="98" t="str">
        <x:v>Nuclear hormone receptor family, NR3 subfamily</x:v>
      </x:c>
      <x:c r="F9" s="99" t="n">
        <x:v>1.83044</x:v>
      </x:c>
      <x:c r="G9" s="100" t="n">
        <x:v>8</x:v>
      </x:c>
      <x:c r="H9" s="96" t="str">
        <x:v>Top20_priority</x:v>
      </x:c>
      <x:c r="I9" s="96" t="str">
        <x:v>Homo sapiens (Human)</x:v>
      </x:c>
      <x:c r="J9" s="96" t="n">
        <x:v>9606</x:v>
      </x:c>
      <x:c r="K9" s="98" t="str">
        <x:v>prediction_only</x:v>
      </x:c>
      <x:c r="L9" s="98" t="str">
        <x:v>Include_as_NetInfer_prediction</x:v>
      </x:c>
    </x:row>
    <x:row r="10" ht="48" hidden="0" customHeight="1">
      <x:c r="A10" s="96" t="str">
        <x:v>OGA</x:v>
      </x:c>
      <x:c r="B10" s="96" t="str">
        <x:v>O60502</x:v>
      </x:c>
      <x:c r="C10" s="96" t="str">
        <x:v>10724</x:v>
      </x:c>
      <x:c r="D10" s="98" t="str">
        <x:v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x:v>
      </x:c>
      <x:c r="E10" s="98" t="str">
        <x:v>Glycosyl hydrolase 84 family</x:v>
      </x:c>
      <x:c r="F10" s="99" t="n">
        <x:v>1.73241</x:v>
      </x:c>
      <x:c r="G10" s="100" t="n">
        <x:v>9</x:v>
      </x:c>
      <x:c r="H10" s="96" t="str">
        <x:v>Top20_priority</x:v>
      </x:c>
      <x:c r="I10" s="96" t="str">
        <x:v>Homo sapiens (Human)</x:v>
      </x:c>
      <x:c r="J10" s="96" t="n">
        <x:v>9606</x:v>
      </x:c>
      <x:c r="K10" s="98" t="str">
        <x:v>prediction_only</x:v>
      </x:c>
      <x:c r="L10" s="98" t="str">
        <x:v>Include_as_NetInfer_prediction</x:v>
      </x:c>
    </x:row>
    <x:row r="11" ht="36" hidden="0" customHeight="1">
      <x:c r="A11" s="96" t="str">
        <x:v>SHBG</x:v>
      </x:c>
      <x:c r="B11" s="96" t="str">
        <x:v>P04278</x:v>
      </x:c>
      <x:c r="C11" s="96" t="str">
        <x:v>6462</x:v>
      </x:c>
      <x:c r="D11" s="98" t="str">
        <x:v>Sex hormone-binding globulin (SHBG) (Sex steroid-binding protein) (SBP) (Testis-specific androgen-binding protein) (ABP) (Testosterone-estradiol-binding globulin) (TeBG) (Testosterone-estrogen-binding globulin)</x:v>
      </x:c>
      <x:c r="E11" s="98" t="str">
        <x:v>NA</x:v>
      </x:c>
      <x:c r="F11" s="99" t="n">
        <x:v>1.65222</x:v>
      </x:c>
      <x:c r="G11" s="100" t="n">
        <x:v>10</x:v>
      </x:c>
      <x:c r="H11" s="96" t="str">
        <x:v>Top20_priority</x:v>
      </x:c>
      <x:c r="I11" s="96" t="str">
        <x:v>Homo sapiens (Human)</x:v>
      </x:c>
      <x:c r="J11" s="96" t="n">
        <x:v>9606</x:v>
      </x:c>
      <x:c r="K11" s="98" t="str">
        <x:v>prediction_only</x:v>
      </x:c>
      <x:c r="L11" s="98" t="str">
        <x:v>Include_as_NetInfer_prediction</x:v>
      </x:c>
    </x:row>
    <x:row r="12" ht="36" hidden="0" customHeight="1">
      <x:c r="A12" s="96" t="str">
        <x:v>CHRNA10</x:v>
      </x:c>
      <x:c r="B12" s="96" t="str">
        <x:v>Q9GZZ6</x:v>
      </x:c>
      <x:c r="C12" s="96" t="str">
        <x:v>57053</x:v>
      </x:c>
      <x:c r="D12" s="98" t="str">
        <x:v>Neuronal acetylcholine receptor subunit alpha-10 (Nicotinic acetylcholine receptor subunit alpha-10) (NACHR alpha-10)</x:v>
      </x:c>
      <x:c r="E12" s="98" t="str">
        <x:v>Ligand-gated ion channel (TC 1.A.9) family, Acetylcholine receptor (TC 1.A.9.1) subfamily, Alpha-10/CHRNA10 sub-subfamily</x:v>
      </x:c>
      <x:c r="F12" s="99" t="n">
        <x:v>1.64045</x:v>
      </x:c>
      <x:c r="G12" s="100" t="n">
        <x:v>11</x:v>
      </x:c>
      <x:c r="H12" s="96" t="str">
        <x:v>Top20_priority</x:v>
      </x:c>
      <x:c r="I12" s="96" t="str">
        <x:v>Homo sapiens (Human)</x:v>
      </x:c>
      <x:c r="J12" s="96" t="n">
        <x:v>9606</x:v>
      </x:c>
      <x:c r="K12" s="98" t="str">
        <x:v>prediction_only</x:v>
      </x:c>
      <x:c r="L12" s="98" t="str">
        <x:v>Include_as_NetInfer_prediction</x:v>
      </x:c>
    </x:row>
    <x:row r="13" ht="36" hidden="0" customHeight="1">
      <x:c r="A13" s="96" t="str">
        <x:v>CHRNA9</x:v>
      </x:c>
      <x:c r="B13" s="96" t="str">
        <x:v>Q9UGM1</x:v>
      </x:c>
      <x:c r="C13" s="96" t="str">
        <x:v>55584</x:v>
      </x:c>
      <x:c r="D13" s="98" t="str">
        <x:v>Neuronal acetylcholine receptor subunit alpha-9 (Nicotinic acetylcholine receptor subunit alpha-9) (NACHR alpha-9)</x:v>
      </x:c>
      <x:c r="E13" s="98" t="str">
        <x:v>Ligand-gated ion channel (TC 1.A.9) family, Acetylcholine receptor (TC 1.A.9.1) subfamily, Alpha-9/CHRNA9 sub-subfamily</x:v>
      </x:c>
      <x:c r="F13" s="99" t="n">
        <x:v>1.64045</x:v>
      </x:c>
      <x:c r="G13" s="100" t="n">
        <x:v>12</x:v>
      </x:c>
      <x:c r="H13" s="96" t="str">
        <x:v>Top20_priority</x:v>
      </x:c>
      <x:c r="I13" s="96" t="str">
        <x:v>Homo sapiens (Human)</x:v>
      </x:c>
      <x:c r="J13" s="96" t="n">
        <x:v>9606</x:v>
      </x:c>
      <x:c r="K13" s="98" t="str">
        <x:v>prediction_only</x:v>
      </x:c>
      <x:c r="L13" s="98" t="str">
        <x:v>Include_as_NetInfer_prediction</x:v>
      </x:c>
    </x:row>
    <x:row r="14" ht="24" hidden="0" customHeight="1">
      <x:c r="A14" s="96" t="str">
        <x:v>HMGCR</x:v>
      </x:c>
      <x:c r="B14" s="96" t="str">
        <x:v>P04035</x:v>
      </x:c>
      <x:c r="C14" s="96" t="str">
        <x:v>3156</x:v>
      </x:c>
      <x:c r="D14" s="98" t="str">
        <x:v>3-hydroxy-3-methylglutaryl-coenzyme A reductase (HMG-CoA reductase) (EC 1.1.1.34)</x:v>
      </x:c>
      <x:c r="E14" s="98" t="str">
        <x:v>HMG-CoA reductase family</x:v>
      </x:c>
      <x:c r="F14" s="99" t="n">
        <x:v>1.60169</x:v>
      </x:c>
      <x:c r="G14" s="100" t="n">
        <x:v>13</x:v>
      </x:c>
      <x:c r="H14" s="96" t="str">
        <x:v>Top20_priority</x:v>
      </x:c>
      <x:c r="I14" s="96" t="str">
        <x:v>Homo sapiens (Human)</x:v>
      </x:c>
      <x:c r="J14" s="96" t="n">
        <x:v>9606</x:v>
      </x:c>
      <x:c r="K14" s="98" t="str">
        <x:v>prediction_only</x:v>
      </x:c>
      <x:c r="L14" s="98" t="str">
        <x:v>Include_as_NetInfer_prediction</x:v>
      </x:c>
    </x:row>
    <x:row r="15" ht="24" hidden="0" customHeight="1">
      <x:c r="A15" s="96" t="str">
        <x:v>STS</x:v>
      </x:c>
      <x:c r="B15" s="96" t="str">
        <x:v>P08842</x:v>
      </x:c>
      <x:c r="C15" s="96" t="str">
        <x:v>412</x:v>
      </x:c>
      <x:c r="D15" s="98" t="str">
        <x:v>Steryl-sulfatase (EC 3.1.6.2) (Arylsulfatase C) (ASC) (Steroid sulfatase) (Steryl-sulfate sulfohydrolase)</x:v>
      </x:c>
      <x:c r="E15" s="98" t="str">
        <x:v>Sulfatase family</x:v>
      </x:c>
      <x:c r="F15" s="99" t="n">
        <x:v>1.52669</x:v>
      </x:c>
      <x:c r="G15" s="100" t="n">
        <x:v>14</x:v>
      </x:c>
      <x:c r="H15" s="96" t="str">
        <x:v>Top20_priority</x:v>
      </x:c>
      <x:c r="I15" s="96" t="str">
        <x:v>Homo sapiens (Human)</x:v>
      </x:c>
      <x:c r="J15" s="96" t="n">
        <x:v>9606</x:v>
      </x:c>
      <x:c r="K15" s="98" t="str">
        <x:v>prediction_only</x:v>
      </x:c>
      <x:c r="L15" s="98" t="str">
        <x:v>Include_as_NetInfer_prediction</x:v>
      </x:c>
    </x:row>
    <x:row r="16" ht="15" hidden="0" customHeight="1">
      <x:c r="A16" s="96" t="str">
        <x:v>CNR1</x:v>
      </x:c>
      <x:c r="B16" s="96" t="str">
        <x:v>P21554</x:v>
      </x:c>
      <x:c r="C16" s="96" t="str">
        <x:v>1268</x:v>
      </x:c>
      <x:c r="D16" s="98" t="str">
        <x:v>Cannabinoid receptor 1 (CB-R) (CB1) (CANN6)</x:v>
      </x:c>
      <x:c r="E16" s="98" t="str">
        <x:v>G-protein coupled receptor 1 family</x:v>
      </x:c>
      <x:c r="F16" s="99" t="n">
        <x:v>1.47848</x:v>
      </x:c>
      <x:c r="G16" s="100" t="n">
        <x:v>15</x:v>
      </x:c>
      <x:c r="H16" s="96" t="str">
        <x:v>Top20_priority</x:v>
      </x:c>
      <x:c r="I16" s="96" t="str">
        <x:v>Homo sapiens (Human)</x:v>
      </x:c>
      <x:c r="J16" s="96" t="n">
        <x:v>9606</x:v>
      </x:c>
      <x:c r="K16" s="98" t="str">
        <x:v>prediction_only</x:v>
      </x:c>
      <x:c r="L16" s="98" t="str">
        <x:v>Include_as_NetInfer_prediction</x:v>
      </x:c>
    </x:row>
    <x:row r="17" ht="15" hidden="0" customHeight="1">
      <x:c r="A17" s="96" t="str">
        <x:v>REN</x:v>
      </x:c>
      <x:c r="B17" s="96" t="str">
        <x:v>P00797</x:v>
      </x:c>
      <x:c r="C17" s="96" t="str">
        <x:v>5972</x:v>
      </x:c>
      <x:c r="D17" s="98" t="str">
        <x:v>Renin (EC 3.4.23.15) (Angiotensinogenase)</x:v>
      </x:c>
      <x:c r="E17" s="98" t="str">
        <x:v>Peptidase A1 family</x:v>
      </x:c>
      <x:c r="F17" s="99" t="n">
        <x:v>1.47225</x:v>
      </x:c>
      <x:c r="G17" s="100" t="n">
        <x:v>16</x:v>
      </x:c>
      <x:c r="H17" s="96" t="str">
        <x:v>Top20_priority</x:v>
      </x:c>
      <x:c r="I17" s="96" t="str">
        <x:v>Homo sapiens (Human)</x:v>
      </x:c>
      <x:c r="J17" s="96" t="n">
        <x:v>9606</x:v>
      </x:c>
      <x:c r="K17" s="98" t="str">
        <x:v>prediction_only</x:v>
      </x:c>
      <x:c r="L17" s="98" t="str">
        <x:v>Include_as_NetInfer_prediction</x:v>
      </x:c>
    </x:row>
    <x:row r="18" ht="24" hidden="0" customHeight="1">
      <x:c r="A18" s="96" t="str">
        <x:v>MVD</x:v>
      </x:c>
      <x:c r="B18" s="96" t="str">
        <x:v>P53602</x:v>
      </x:c>
      <x:c r="C18" s="96" t="str">
        <x:v>4597</x:v>
      </x:c>
      <x:c r="D18" s="98" t="str">
        <x:v>Diphosphomevalonate decarboxylase (EC 4.1.1.33) (Mevalonate (diphospho)decarboxylase) (MDDase) (Mevalonate pyrophosphate decarboxylase)</x:v>
      </x:c>
      <x:c r="E18" s="98" t="str">
        <x:v>Diphosphomevalonate decarboxylase family</x:v>
      </x:c>
      <x:c r="F18" s="99" t="n">
        <x:v>1.44222</x:v>
      </x:c>
      <x:c r="G18" s="100" t="n">
        <x:v>17</x:v>
      </x:c>
      <x:c r="H18" s="96" t="str">
        <x:v>Top20_priority</x:v>
      </x:c>
      <x:c r="I18" s="96" t="str">
        <x:v>Homo sapiens (Human)</x:v>
      </x:c>
      <x:c r="J18" s="96" t="n">
        <x:v>9606</x:v>
      </x:c>
      <x:c r="K18" s="98" t="str">
        <x:v>prediction_only</x:v>
      </x:c>
      <x:c r="L18" s="98" t="str">
        <x:v>Include_as_NetInfer_prediction</x:v>
      </x:c>
    </x:row>
    <x:row r="19" ht="36" hidden="0" customHeight="1">
      <x:c r="A19" s="96" t="str">
        <x:v>GLO1</x:v>
      </x:c>
      <x:c r="B19" s="96" t="str">
        <x:v>Q04760</x:v>
      </x:c>
      <x:c r="C19" s="96" t="str">
        <x:v>2739</x:v>
      </x:c>
      <x:c r="D19" s="98" t="str">
        <x:v>Lactoylglutathione lyase (EC 4.4.1.5) (Aldoketomutase) (Glyoxalase I) (Glx I) (Ketone-aldehyde mutase) (Methylglyoxalase) (S-D-lactoylglutathione methylglyoxal lyase)</x:v>
      </x:c>
      <x:c r="E19" s="98" t="str">
        <x:v>Glyoxalase I family</x:v>
      </x:c>
      <x:c r="F19" s="99" t="n">
        <x:v>1.38483</x:v>
      </x:c>
      <x:c r="G19" s="100" t="n">
        <x:v>18</x:v>
      </x:c>
      <x:c r="H19" s="96" t="str">
        <x:v>Top20_priority</x:v>
      </x:c>
      <x:c r="I19" s="96" t="str">
        <x:v>Homo sapiens (Human)</x:v>
      </x:c>
      <x:c r="J19" s="96" t="n">
        <x:v>9606</x:v>
      </x:c>
      <x:c r="K19" s="98" t="str">
        <x:v>prediction_only</x:v>
      </x:c>
      <x:c r="L19" s="98" t="str">
        <x:v>Include_as_NetInfer_prediction</x:v>
      </x:c>
    </x:row>
    <x:row r="20" ht="15" hidden="0" customHeight="1">
      <x:c r="A20" s="96" t="str">
        <x:v>PGR</x:v>
      </x:c>
      <x:c r="B20" s="96" t="str">
        <x:v>P06401</x:v>
      </x:c>
      <x:c r="C20" s="96" t="str">
        <x:v>5241</x:v>
      </x:c>
      <x:c r="D20" s="98" t="str">
        <x:v>Progesterone receptor (PR) (Nuclear receptor subfamily 3 group C member 3)</x:v>
      </x:c>
      <x:c r="E20" s="98" t="str">
        <x:v>Nuclear hormone receptor family, NR3 subfamily</x:v>
      </x:c>
      <x:c r="F20" s="99" t="n">
        <x:v>1.29916</x:v>
      </x:c>
      <x:c r="G20" s="100" t="n">
        <x:v>19</x:v>
      </x:c>
      <x:c r="H20" s="96" t="str">
        <x:v>Top20_priority</x:v>
      </x:c>
      <x:c r="I20" s="96" t="str">
        <x:v>Homo sapiens (Human)</x:v>
      </x:c>
      <x:c r="J20" s="96" t="n">
        <x:v>9606</x:v>
      </x:c>
      <x:c r="K20" s="98" t="str">
        <x:v>prediction_only</x:v>
      </x:c>
      <x:c r="L20" s="98" t="str">
        <x:v>Include_as_NetInfer_prediction</x:v>
      </x:c>
    </x:row>
    <x:row r="21" ht="15" hidden="0" customHeight="1">
      <x:c r="A21" s="96" t="str">
        <x:v>BTN3A1</x:v>
      </x:c>
      <x:c r="B21" s="96" t="str">
        <x:v>O00481</x:v>
      </x:c>
      <x:c r="C21" s="96" t="str">
        <x:v>11119</x:v>
      </x:c>
      <x:c r="D21" s="98" t="str">
        <x:v>Butyrophilin subfamily 3 member A1 (CD antigen CD277)</x:v>
      </x:c>
      <x:c r="E21" s="98" t="str">
        <x:v>Immunoglobulin superfamily, BTN/MOG family</x:v>
      </x:c>
      <x:c r="F21" s="99" t="n">
        <x:v>1.26933</x:v>
      </x:c>
      <x:c r="G21" s="100" t="n">
        <x:v>20</x:v>
      </x:c>
      <x:c r="H21" s="96" t="str">
        <x:v>Top20_priority</x:v>
      </x:c>
      <x:c r="I21" s="96" t="str">
        <x:v>Homo sapiens (Human)</x:v>
      </x:c>
      <x:c r="J21" s="96" t="n">
        <x:v>9606</x:v>
      </x:c>
      <x:c r="K21" s="98" t="str">
        <x:v>prediction_only</x:v>
      </x:c>
      <x:c r="L21" s="98" t="str">
        <x:v>Include_as_NetInfer_prediction</x:v>
      </x:c>
    </x:row>
    <x:row r="22" ht="96" hidden="0" customHeight="1">
      <x:c r="A22" s="96" t="str">
        <x:v>AKR1C3</x:v>
      </x:c>
      <x:c r="B22" s="96" t="str">
        <x:v>P42330</x:v>
      </x:c>
      <x:c r="C22" s="96" t="str">
        <x:v>8644</x:v>
      </x:c>
      <x:c r="D22" s="98" t="str">
        <x:v>Aldo-keto reductase family 1 member C3 (EC 1.-.-.-) (17-beta-hydroxysteroid dehydrogenase type 5) (17-beta-HSD 5) (3-alpha-HSD type II, brain) (3-alpha-hydroxysteroid dehydrogenase type 2) (3-alpha-HSD type 2) (EC 1.1.1.357) (Chlordecone reductase homolog HAKRb) (Dihydrodiol dehydrogenase 3) (DD-3) (DD3) (Dihydrodiol dehydrogenase type I) (HA1753) (Indanol dehydrogenase) (EC 1.1.1.112) (Prostaglandin F synthase) (PGFS) (EC 1.1.1.188) (Testosterone 17-beta-dehydrogenase 5) (EC 1.1.1.239) (EC 1.1.1.64) (Trans-1,2-dihydrobenzene-1,2-diol dehydrogenase) (EC 1.3.1.20)</x:v>
      </x:c>
      <x:c r="E22" s="98" t="str">
        <x:v>Aldo/keto reductase family</x:v>
      </x:c>
      <x:c r="F22" s="99" t="n">
        <x:v>1.2405</x:v>
      </x:c>
      <x:c r="G22" s="100" t="n">
        <x:v>21</x:v>
      </x:c>
      <x:c r="H22" s="96" t="str">
        <x:v>Rank21_50_extended</x:v>
      </x:c>
      <x:c r="I22" s="96" t="str">
        <x:v>Homo sapiens (Human)</x:v>
      </x:c>
      <x:c r="J22" s="96" t="n">
        <x:v>9606</x:v>
      </x:c>
      <x:c r="K22" s="98" t="str">
        <x:v>prediction_only</x:v>
      </x:c>
      <x:c r="L22" s="98" t="str">
        <x:v>Include_as_NetInfer_prediction</x:v>
      </x:c>
    </x:row>
    <x:row r="23" ht="24" hidden="0" customHeight="1">
      <x:c r="A23" s="96" t="str">
        <x:v>SF3B3</x:v>
      </x:c>
      <x:c r="B23" s="96" t="str">
        <x:v>Q15393</x:v>
      </x:c>
      <x:c r="C23" s="96" t="str">
        <x:v>23450</x:v>
      </x:c>
      <x:c r="D23" s="98" t="str">
        <x:v>Splicing factor 3B subunit 3 (Pre-mRNA-splicing factor SF3b 130 kDa subunit) (SF3b130) (STAF130) (Spliceosome-associated protein 130) (SAP 130)</x:v>
      </x:c>
      <x:c r="E23" s="98" t="str">
        <x:v>RSE1 family</x:v>
      </x:c>
      <x:c r="F23" s="99" t="n">
        <x:v>1.23659</x:v>
      </x:c>
      <x:c r="G23" s="100" t="n">
        <x:v>22</x:v>
      </x:c>
      <x:c r="H23" s="96" t="str">
        <x:v>Rank21_50_extended</x:v>
      </x:c>
      <x:c r="I23" s="96" t="str">
        <x:v>Homo sapiens (Human)</x:v>
      </x:c>
      <x:c r="J23" s="96" t="n">
        <x:v>9606</x:v>
      </x:c>
      <x:c r="K23" s="98" t="str">
        <x:v>prediction_only</x:v>
      </x:c>
      <x:c r="L23" s="98" t="str">
        <x:v>Include_as_NetInfer_prediction</x:v>
      </x:c>
    </x:row>
    <x:row r="24" ht="24" hidden="0" customHeight="1">
      <x:c r="A24" s="96" t="str">
        <x:v>CA2</x:v>
      </x:c>
      <x:c r="B24" s="96" t="str">
        <x:v>P00918</x:v>
      </x:c>
      <x:c r="C24" s="96" t="str">
        <x:v>760</x:v>
      </x:c>
      <x:c r="D24" s="98" t="str">
        <x:v>Carbonic anhydrase 2 (EC 4.2.1.1) (Carbonate dehydratase II) (Carbonic anhydrase C) (CAC) (Carbonic anhydrase II) (CA-II)</x:v>
      </x:c>
      <x:c r="E24" s="98" t="str">
        <x:v>Alpha-carbonic anhydrase family</x:v>
      </x:c>
      <x:c r="F24" s="99" t="n">
        <x:v>1.23135</x:v>
      </x:c>
      <x:c r="G24" s="100" t="n">
        <x:v>23</x:v>
      </x:c>
      <x:c r="H24" s="96" t="str">
        <x:v>Rank21_50_extended</x:v>
      </x:c>
      <x:c r="I24" s="96" t="str">
        <x:v>Homo sapiens (Human)</x:v>
      </x:c>
      <x:c r="J24" s="96" t="n">
        <x:v>9606</x:v>
      </x:c>
      <x:c r="K24" s="98" t="str">
        <x:v>prediction_only</x:v>
      </x:c>
      <x:c r="L24" s="98" t="str">
        <x:v>Include_as_NetInfer_prediction</x:v>
      </x:c>
    </x:row>
    <x:row r="25" ht="48" hidden="0" customHeight="1">
      <x:c r="A25" s="96" t="str">
        <x:v>KCNH2</x:v>
      </x:c>
      <x:c r="B25" s="96" t="str">
        <x:v>Q12809</x:v>
      </x:c>
      <x:c r="C25" s="96" t="str">
        <x:v>3757</x:v>
      </x:c>
      <x:c r="D25" s="98" t="str">
        <x:v>Potassium voltage-gated channel subfamily H member 2 (Eag homolog) (Ether-a-go-go-related gene potassium channel 1) (ERG-1) (Eag-related protein 1) (Ether-a-go-go-related protein 1) (H-ERG) (hERG-1) (hERG1) (Voltage-gated potassium channel subunit Kv11.1)</x:v>
      </x:c>
      <x:c r="E25" s="98" t="str">
        <x:v>Potassium channel family, H (Eag) (TC 1.A.1.20) subfamily, Kv11.1/KCNH2 sub-subfamily</x:v>
      </x:c>
      <x:c r="F25" s="99" t="n">
        <x:v>1.20138</x:v>
      </x:c>
      <x:c r="G25" s="100" t="n">
        <x:v>24</x:v>
      </x:c>
      <x:c r="H25" s="96" t="str">
        <x:v>Rank21_50_extended</x:v>
      </x:c>
      <x:c r="I25" s="96" t="str">
        <x:v>Homo sapiens (Human)</x:v>
      </x:c>
      <x:c r="J25" s="96" t="n">
        <x:v>9606</x:v>
      </x:c>
      <x:c r="K25" s="98" t="str">
        <x:v>prediction_only</x:v>
      </x:c>
      <x:c r="L25" s="98" t="str">
        <x:v>Include_as_NetInfer_prediction</x:v>
      </x:c>
    </x:row>
    <x:row r="26" ht="15" hidden="0" customHeight="1">
      <x:c r="A26" s="96" t="str">
        <x:v>DRD2</x:v>
      </x:c>
      <x:c r="B26" s="96" t="str">
        <x:v>P14416</x:v>
      </x:c>
      <x:c r="C26" s="96" t="str">
        <x:v>1813</x:v>
      </x:c>
      <x:c r="D26" s="98" t="str">
        <x:v>D(2) dopamine receptor (Dopamine D2 receptor)</x:v>
      </x:c>
      <x:c r="E26" s="98" t="str">
        <x:v>G-protein coupled receptor 1 family</x:v>
      </x:c>
      <x:c r="F26" s="99" t="n">
        <x:v>1.18635</x:v>
      </x:c>
      <x:c r="G26" s="100" t="n">
        <x:v>25</x:v>
      </x:c>
      <x:c r="H26" s="96" t="str">
        <x:v>Rank21_50_extended</x:v>
      </x:c>
      <x:c r="I26" s="96" t="str">
        <x:v>Homo sapiens (Human)</x:v>
      </x:c>
      <x:c r="J26" s="96" t="n">
        <x:v>9606</x:v>
      </x:c>
      <x:c r="K26" s="98" t="str">
        <x:v>prediction_only</x:v>
      </x:c>
      <x:c r="L26" s="98" t="str">
        <x:v>Include_as_NetInfer_prediction</x:v>
      </x:c>
    </x:row>
    <x:row r="27" ht="24" hidden="0" customHeight="1">
      <x:c r="A27" s="96" t="str">
        <x:v>PRKCA</x:v>
      </x:c>
      <x:c r="B27" s="96" t="str">
        <x:v>P17252</x:v>
      </x:c>
      <x:c r="C27" s="96" t="str">
        <x:v>5578</x:v>
      </x:c>
      <x:c r="D27" s="98" t="str">
        <x:v>Protein kinase C alpha type (PKC-A) (PKC-alpha) (EC 2.7.11.13)</x:v>
      </x:c>
      <x:c r="E27" s="98" t="str">
        <x:v>Protein kinase superfamily, AGC Ser/Thr protein kinase family, PKC subfamily</x:v>
      </x:c>
      <x:c r="F27" s="99" t="n">
        <x:v>1.17691</x:v>
      </x:c>
      <x:c r="G27" s="100" t="n">
        <x:v>26</x:v>
      </x:c>
      <x:c r="H27" s="96" t="str">
        <x:v>Rank21_50_extended</x:v>
      </x:c>
      <x:c r="I27" s="96" t="str">
        <x:v>Homo sapiens (Human)</x:v>
      </x:c>
      <x:c r="J27" s="96" t="n">
        <x:v>9606</x:v>
      </x:c>
      <x:c r="K27" s="98" t="str">
        <x:v>prediction_only</x:v>
      </x:c>
      <x:c r="L27" s="98" t="str">
        <x:v>Include_as_NetInfer_prediction</x:v>
      </x:c>
    </x:row>
    <x:row r="28" ht="36" hidden="0" customHeight="1">
      <x:c r="A28" s="96" t="str">
        <x:v>KLF5</x:v>
      </x:c>
      <x:c r="B28" s="96" t="str">
        <x:v>Q13887</x:v>
      </x:c>
      <x:c r="C28" s="96" t="str">
        <x:v>688</x:v>
      </x:c>
      <x:c r="D28" s="98" t="str">
        <x:v>Krueppel-like factor 5 (Basic transcription element-binding protein 2) (BTE-binding protein 2) (Colon krueppel-like factor) (GC-box-binding protein 2) (Intestinal-enriched krueppel-like factor) (Transcription factor BTEB2)</x:v>
      </x:c>
      <x:c r="E28" s="98" t="str">
        <x:v>Krueppel C2H2-type zinc-finger protein family</x:v>
      </x:c>
      <x:c r="F28" s="99" t="n">
        <x:v>1.1595</x:v>
      </x:c>
      <x:c r="G28" s="100" t="n">
        <x:v>27</x:v>
      </x:c>
      <x:c r="H28" s="96" t="str">
        <x:v>Rank21_50_extended</x:v>
      </x:c>
      <x:c r="I28" s="96" t="str">
        <x:v>Homo sapiens (Human)</x:v>
      </x:c>
      <x:c r="J28" s="96" t="n">
        <x:v>9606</x:v>
      </x:c>
      <x:c r="K28" s="98" t="str">
        <x:v>prediction_only</x:v>
      </x:c>
      <x:c r="L28" s="98" t="str">
        <x:v>Include_as_NetInfer_prediction</x:v>
      </x:c>
    </x:row>
    <x:row r="29" ht="24" hidden="0" customHeight="1">
      <x:c r="A29" s="96" t="str">
        <x:v>BCHE</x:v>
      </x:c>
      <x:c r="B29" s="96" t="str">
        <x:v>P06276</x:v>
      </x:c>
      <x:c r="C29" s="96" t="str">
        <x:v>590</x:v>
      </x:c>
      <x:c r="D29" s="98" t="str">
        <x:v>Cholinesterase (EC 3.1.1.8) (Acylcholine acylhydrolase) (Butyrylcholine esterase) (Choline esterase II) (Pseudocholinesterase)</x:v>
      </x:c>
      <x:c r="E29" s="98" t="str">
        <x:v>Type-B carboxylesterase/lipase family</x:v>
      </x:c>
      <x:c r="F29" s="99" t="n">
        <x:v>1.15026</x:v>
      </x:c>
      <x:c r="G29" s="100" t="n">
        <x:v>28</x:v>
      </x:c>
      <x:c r="H29" s="96" t="str">
        <x:v>Rank21_50_extended</x:v>
      </x:c>
      <x:c r="I29" s="96" t="str">
        <x:v>Homo sapiens (Human)</x:v>
      </x:c>
      <x:c r="J29" s="96" t="n">
        <x:v>9606</x:v>
      </x:c>
      <x:c r="K29" s="98" t="str">
        <x:v>prediction_only</x:v>
      </x:c>
      <x:c r="L29" s="98" t="str">
        <x:v>Include_as_NetInfer_prediction</x:v>
      </x:c>
    </x:row>
    <x:row r="30" ht="15" hidden="0" customHeight="1">
      <x:c r="A30" s="96" t="str">
        <x:v>PNLIP</x:v>
      </x:c>
      <x:c r="B30" s="96" t="str">
        <x:v>P16233</x:v>
      </x:c>
      <x:c r="C30" s="96" t="str">
        <x:v>5406</x:v>
      </x:c>
      <x:c r="D30" s="98" t="str">
        <x:v>Pancreatic triacylglycerol lipase (PL) (PTL) (Pancreatic lipase) (EC 3.1.1.3)</x:v>
      </x:c>
      <x:c r="E30" s="98" t="str">
        <x:v>AB hydrolase superfamily, Lipase family</x:v>
      </x:c>
      <x:c r="F30" s="99" t="n">
        <x:v>1.111</x:v>
      </x:c>
      <x:c r="G30" s="100" t="n">
        <x:v>29</x:v>
      </x:c>
      <x:c r="H30" s="96" t="str">
        <x:v>Rank21_50_extended</x:v>
      </x:c>
      <x:c r="I30" s="96" t="str">
        <x:v>Homo sapiens (Human)</x:v>
      </x:c>
      <x:c r="J30" s="96" t="n">
        <x:v>9606</x:v>
      </x:c>
      <x:c r="K30" s="98" t="str">
        <x:v>prediction_only</x:v>
      </x:c>
      <x:c r="L30" s="98" t="str">
        <x:v>Include_as_NetInfer_prediction</x:v>
      </x:c>
    </x:row>
    <x:row r="31" ht="15" hidden="0" customHeight="1">
      <x:c r="A31" s="96" t="str">
        <x:v>OPRD1</x:v>
      </x:c>
      <x:c r="B31" s="96" t="str">
        <x:v>P41143</x:v>
      </x:c>
      <x:c r="C31" s="96" t="str">
        <x:v>4985</x:v>
      </x:c>
      <x:c r="D31" s="98" t="str">
        <x:v>Delta-type opioid receptor (D-OR-1) (DOR-1)</x:v>
      </x:c>
      <x:c r="E31" s="98" t="str">
        <x:v>G-protein coupled receptor 1 family</x:v>
      </x:c>
      <x:c r="F31" s="99" t="n">
        <x:v>0.996497</x:v>
      </x:c>
      <x:c r="G31" s="100" t="n">
        <x:v>30</x:v>
      </x:c>
      <x:c r="H31" s="96" t="str">
        <x:v>Rank21_50_extended</x:v>
      </x:c>
      <x:c r="I31" s="96" t="str">
        <x:v>Homo sapiens (Human)</x:v>
      </x:c>
      <x:c r="J31" s="96" t="n">
        <x:v>9606</x:v>
      </x:c>
      <x:c r="K31" s="98" t="str">
        <x:v>prediction_only</x:v>
      </x:c>
      <x:c r="L31" s="98" t="str">
        <x:v>Include_as_NetInfer_prediction</x:v>
      </x:c>
    </x:row>
    <x:row r="32" ht="24" hidden="0" customHeight="1">
      <x:c r="A32" s="96" t="str">
        <x:v>NFE2L2</x:v>
      </x:c>
      <x:c r="B32" s="96" t="str">
        <x:v>Q16236</x:v>
      </x:c>
      <x:c r="C32" s="96" t="str">
        <x:v>4780</x:v>
      </x:c>
      <x:c r="D32" s="98" t="str">
        <x:v>Nuclear factor erythroid 2-related factor 2 (NF-E2-related factor 2) (NFE2-related factor 2) (HEBP1) (Nuclear factor, erythroid derived 2, like 2)</x:v>
      </x:c>
      <x:c r="E32" s="98" t="str">
        <x:v>BZIP family, CNC subfamily</x:v>
      </x:c>
      <x:c r="F32" s="99" t="n">
        <x:v>0.994384</x:v>
      </x:c>
      <x:c r="G32" s="100" t="n">
        <x:v>31</x:v>
      </x:c>
      <x:c r="H32" s="96" t="str">
        <x:v>Rank21_50_extended</x:v>
      </x:c>
      <x:c r="I32" s="96" t="str">
        <x:v>Homo sapiens (Human)</x:v>
      </x:c>
      <x:c r="J32" s="96" t="n">
        <x:v>9606</x:v>
      </x:c>
      <x:c r="K32" s="98" t="str">
        <x:v>prediction_only</x:v>
      </x:c>
      <x:c r="L32" s="98" t="str">
        <x:v>Include_as_NetInfer_prediction</x:v>
      </x:c>
    </x:row>
    <x:row r="33" ht="24" hidden="0" customHeight="1">
      <x:c r="A33" s="96" t="str">
        <x:v>MBOAT4</x:v>
      </x:c>
      <x:c r="B33" s="96" t="str">
        <x:v>Q96T53</x:v>
      </x:c>
      <x:c r="C33" s="96" t="str">
        <x:v>619373</x:v>
      </x:c>
      <x:c r="D33" s="98" t="str">
        <x:v>Ghrelin O-acyltransferase (EC 2.3.1.-) (Membrane-bound O-acyltransferase domain-containing protein 4) (O-acyltransferase domain-containing protein 4)</x:v>
      </x:c>
      <x:c r="E33" s="98" t="str">
        <x:v>Membrane-bound acyltransferase family</x:v>
      </x:c>
      <x:c r="F33" s="99" t="n">
        <x:v>0.991444</x:v>
      </x:c>
      <x:c r="G33" s="100" t="n">
        <x:v>32</x:v>
      </x:c>
      <x:c r="H33" s="96" t="str">
        <x:v>Rank21_50_extended</x:v>
      </x:c>
      <x:c r="I33" s="96" t="str">
        <x:v>Homo sapiens (Human)</x:v>
      </x:c>
      <x:c r="J33" s="96" t="n">
        <x:v>9606</x:v>
      </x:c>
      <x:c r="K33" s="98" t="str">
        <x:v>prediction_only</x:v>
      </x:c>
      <x:c r="L33" s="98" t="str">
        <x:v>Include_as_NetInfer_prediction</x:v>
      </x:c>
    </x:row>
    <x:row r="34" ht="24" hidden="0" customHeight="1">
      <x:c r="A34" s="96" t="str">
        <x:v>SLC5A2</x:v>
      </x:c>
      <x:c r="B34" s="96" t="str">
        <x:v>P31639</x:v>
      </x:c>
      <x:c r="C34" s="96" t="str">
        <x:v>6524</x:v>
      </x:c>
      <x:c r="D34" s="98" t="str">
        <x:v>Sodium/glucose cotransporter 2 (Na(+)/glucose cotransporter 2) (Low affinity sodium-glucose cotransporter) (Solute carrier family 5 member 2)</x:v>
      </x:c>
      <x:c r="E34" s="98" t="str">
        <x:v>Sodium:solute symporter (SSF) (TC 2.A.21) family</x:v>
      </x:c>
      <x:c r="F34" s="99" t="n">
        <x:v>0.981711</x:v>
      </x:c>
      <x:c r="G34" s="100" t="n">
        <x:v>33</x:v>
      </x:c>
      <x:c r="H34" s="96" t="str">
        <x:v>Rank21_50_extended</x:v>
      </x:c>
      <x:c r="I34" s="96" t="str">
        <x:v>Homo sapiens (Human)</x:v>
      </x:c>
      <x:c r="J34" s="96" t="n">
        <x:v>9606</x:v>
      </x:c>
      <x:c r="K34" s="98" t="str">
        <x:v>prediction_only</x:v>
      </x:c>
      <x:c r="L34" s="98" t="str">
        <x:v>Include_as_NetInfer_prediction</x:v>
      </x:c>
    </x:row>
    <x:row r="35" ht="15" hidden="0" customHeight="1">
      <x:c r="A35" s="96" t="str">
        <x:v>GPR32</x:v>
      </x:c>
      <x:c r="B35" s="96" t="str">
        <x:v>O75388</x:v>
      </x:c>
      <x:c r="C35" s="96" t="str">
        <x:v>2854</x:v>
      </x:c>
      <x:c r="D35" s="98" t="str">
        <x:v>Probable G-protein coupled receptor 32</x:v>
      </x:c>
      <x:c r="E35" s="98" t="str">
        <x:v>G-protein coupled receptor 1 family</x:v>
      </x:c>
      <x:c r="F35" s="99" t="n">
        <x:v>0.97903</x:v>
      </x:c>
      <x:c r="G35" s="100" t="n">
        <x:v>34</x:v>
      </x:c>
      <x:c r="H35" s="96" t="str">
        <x:v>Rank21_50_extended</x:v>
      </x:c>
      <x:c r="I35" s="96" t="str">
        <x:v>Homo sapiens (Human)</x:v>
      </x:c>
      <x:c r="J35" s="96" t="n">
        <x:v>9606</x:v>
      </x:c>
      <x:c r="K35" s="98" t="str">
        <x:v>prediction_only</x:v>
      </x:c>
      <x:c r="L35" s="98" t="str">
        <x:v>Include_as_NetInfer_prediction</x:v>
      </x:c>
    </x:row>
    <x:row r="36" ht="24" hidden="0" customHeight="1">
      <x:c r="A36" s="96" t="str">
        <x:v>CHRM3</x:v>
      </x:c>
      <x:c r="B36" s="96" t="str">
        <x:v>P20309</x:v>
      </x:c>
      <x:c r="C36" s="96" t="str">
        <x:v>1131</x:v>
      </x:c>
      <x:c r="D36" s="98" t="str">
        <x:v>Muscarinic acetylcholine receptor M3</x:v>
      </x:c>
      <x:c r="E36" s="98" t="str">
        <x:v>G-protein coupled receptor 1 family, Muscarinic acetylcholine receptor subfamily, CHRM3 sub-subfamily</x:v>
      </x:c>
      <x:c r="F36" s="99" t="n">
        <x:v>0.966866</x:v>
      </x:c>
      <x:c r="G36" s="100" t="n">
        <x:v>35</x:v>
      </x:c>
      <x:c r="H36" s="96" t="str">
        <x:v>Rank21_50_extended</x:v>
      </x:c>
      <x:c r="I36" s="96" t="str">
        <x:v>Homo sapiens (Human)</x:v>
      </x:c>
      <x:c r="J36" s="96" t="n">
        <x:v>9606</x:v>
      </x:c>
      <x:c r="K36" s="98" t="str">
        <x:v>prediction_only</x:v>
      </x:c>
      <x:c r="L36" s="98" t="str">
        <x:v>Include_as_NetInfer_prediction</x:v>
      </x:c>
    </x:row>
    <x:row r="37" ht="15" hidden="0" customHeight="1">
      <x:c r="A37" s="96" t="str">
        <x:v>GPR18</x:v>
      </x:c>
      <x:c r="B37" s="96" t="str">
        <x:v>Q14330</x:v>
      </x:c>
      <x:c r="C37" s="96" t="str">
        <x:v>2841</x:v>
      </x:c>
      <x:c r="D37" s="98" t="str">
        <x:v>N-arachidonyl glycine receptor (NAGly receptor) (G-protein coupled receptor 18)</x:v>
      </x:c>
      <x:c r="E37" s="98" t="str">
        <x:v>G-protein coupled receptor 1 family</x:v>
      </x:c>
      <x:c r="F37" s="99" t="n">
        <x:v>0.960422</x:v>
      </x:c>
      <x:c r="G37" s="100" t="n">
        <x:v>36</x:v>
      </x:c>
      <x:c r="H37" s="96" t="str">
        <x:v>Rank21_50_extended</x:v>
      </x:c>
      <x:c r="I37" s="96" t="str">
        <x:v>Homo sapiens (Human)</x:v>
      </x:c>
      <x:c r="J37" s="96" t="n">
        <x:v>9606</x:v>
      </x:c>
      <x:c r="K37" s="98" t="str">
        <x:v>prediction_only</x:v>
      </x:c>
      <x:c r="L37" s="98" t="str">
        <x:v>Include_as_NetInfer_prediction</x:v>
      </x:c>
    </x:row>
    <x:row r="38" ht="15" hidden="0" customHeight="1">
      <x:c r="A38" s="96" t="str">
        <x:v>TDP1</x:v>
      </x:c>
      <x:c r="B38" s="96" t="str">
        <x:v>Q9NUW8</x:v>
      </x:c>
      <x:c r="C38" s="96" t="str">
        <x:v>55775</x:v>
      </x:c>
      <x:c r="D38" s="98" t="str">
        <x:v>Tyrosyl-DNA phosphodiesterase 1 (Tyr-DNA phosphodiesterase 1) (EC 3.1.4.-)</x:v>
      </x:c>
      <x:c r="E38" s="98" t="str">
        <x:v>Tyrosyl-DNA phosphodiesterase family</x:v>
      </x:c>
      <x:c r="F38" s="99" t="n">
        <x:v>0.889927</x:v>
      </x:c>
      <x:c r="G38" s="100" t="n">
        <x:v>37</x:v>
      </x:c>
      <x:c r="H38" s="96" t="str">
        <x:v>Rank21_50_extended</x:v>
      </x:c>
      <x:c r="I38" s="96" t="str">
        <x:v>Homo sapiens (Human)</x:v>
      </x:c>
      <x:c r="J38" s="96" t="n">
        <x:v>9606</x:v>
      </x:c>
      <x:c r="K38" s="98" t="str">
        <x:v>prediction_only</x:v>
      </x:c>
      <x:c r="L38" s="98" t="str">
        <x:v>Include_as_NetInfer_prediction</x:v>
      </x:c>
    </x:row>
    <x:row r="39" ht="24" hidden="0" customHeight="1">
      <x:c r="A39" s="96" t="str">
        <x:v>LPAR3</x:v>
      </x:c>
      <x:c r="B39" s="96" t="str">
        <x:v>Q9UBY5</x:v>
      </x:c>
      <x:c r="C39" s="96" t="str">
        <x:v>23566</x:v>
      </x:c>
      <x:c r="D39" s="98" t="str">
        <x:v>Lysophosphatidic acid receptor 3 (LPA receptor 3) (LPA-3) (Lysophosphatidic acid receptor Edg-7)</x:v>
      </x:c>
      <x:c r="E39" s="98" t="str">
        <x:v>G-protein coupled receptor 1 family</x:v>
      </x:c>
      <x:c r="F39" s="99" t="n">
        <x:v>0.878707</x:v>
      </x:c>
      <x:c r="G39" s="100" t="n">
        <x:v>38</x:v>
      </x:c>
      <x:c r="H39" s="96" t="str">
        <x:v>Rank21_50_extended</x:v>
      </x:c>
      <x:c r="I39" s="96" t="str">
        <x:v>Homo sapiens (Human)</x:v>
      </x:c>
      <x:c r="J39" s="96" t="n">
        <x:v>9606</x:v>
      </x:c>
      <x:c r="K39" s="98" t="str">
        <x:v>prediction_only</x:v>
      </x:c>
      <x:c r="L39" s="98" t="str">
        <x:v>Include_as_NetInfer_prediction</x:v>
      </x:c>
    </x:row>
    <x:row r="40" ht="36" hidden="0" customHeight="1">
      <x:c r="A40" s="96" t="str">
        <x:v>CASP1</x:v>
      </x:c>
      <x:c r="B40" s="96" t="str">
        <x:v>P29466</x:v>
      </x:c>
      <x:c r="C40" s="96" t="str">
        <x:v>834</x:v>
      </x:c>
      <x:c r="D40" s="98" t="str">
        <x:v>Caspase-1 (CASP-1) (EC 3.4.22.36) (Interleukin-1 beta convertase) (IL-1BC) (Interleukin-1 beta-converting enzyme) (ICE) (IL-1 beta-converting enzyme) (p45) [Cleaved into: Caspase-1 subunit p20; Caspase-1 subunit p10]</x:v>
      </x:c>
      <x:c r="E40" s="98" t="str">
        <x:v>Peptidase C14A family</x:v>
      </x:c>
      <x:c r="F40" s="99" t="n">
        <x:v>0.841848</x:v>
      </x:c>
      <x:c r="G40" s="100" t="n">
        <x:v>39</x:v>
      </x:c>
      <x:c r="H40" s="96" t="str">
        <x:v>Rank21_50_extended</x:v>
      </x:c>
      <x:c r="I40" s="96" t="str">
        <x:v>Homo sapiens (Human)</x:v>
      </x:c>
      <x:c r="J40" s="96" t="n">
        <x:v>9606</x:v>
      </x:c>
      <x:c r="K40" s="98" t="str">
        <x:v>prediction_only</x:v>
      </x:c>
      <x:c r="L40" s="98" t="str">
        <x:v>Include_as_NetInfer_prediction</x:v>
      </x:c>
    </x:row>
    <x:row r="41" ht="24" hidden="0" customHeight="1">
      <x:c r="A41" s="96" t="str">
        <x:v>CHRM5</x:v>
      </x:c>
      <x:c r="B41" s="96" t="str">
        <x:v>P08912</x:v>
      </x:c>
      <x:c r="C41" s="96" t="str">
        <x:v>1133</x:v>
      </x:c>
      <x:c r="D41" s="98" t="str">
        <x:v>Muscarinic acetylcholine receptor M5</x:v>
      </x:c>
      <x:c r="E41" s="98" t="str">
        <x:v>G-protein coupled receptor 1 family, Muscarinic acetylcholine receptor subfamily, CHRM5 sub-subfamily</x:v>
      </x:c>
      <x:c r="F41" s="99" t="n">
        <x:v>0.835223</x:v>
      </x:c>
      <x:c r="G41" s="100" t="n">
        <x:v>40</x:v>
      </x:c>
      <x:c r="H41" s="96" t="str">
        <x:v>Rank21_50_extended</x:v>
      </x:c>
      <x:c r="I41" s="96" t="str">
        <x:v>Homo sapiens (Human)</x:v>
      </x:c>
      <x:c r="J41" s="96" t="n">
        <x:v>9606</x:v>
      </x:c>
      <x:c r="K41" s="98" t="str">
        <x:v>prediction_only</x:v>
      </x:c>
      <x:c r="L41" s="98" t="str">
        <x:v>Include_as_NetInfer_prediction</x:v>
      </x:c>
    </x:row>
    <x:row r="42" ht="36" hidden="0" customHeight="1">
      <x:c r="A42" s="96" t="str">
        <x:v>MIF</x:v>
      </x:c>
      <x:c r="B42" s="96" t="str">
        <x:v>P14174</x:v>
      </x:c>
      <x:c r="C42" s="96" t="str">
        <x:v>4282</x:v>
      </x:c>
      <x:c r="D42" s="98" t="str">
        <x:v>Macrophage migration inhibitory factor (MIF) (EC 5.3.2.1) (Glycosylation-inhibiting factor) (GIF) (L-dopachrome isomerase) (L-dopachrome tautomerase) (EC 5.3.3.12) (Phenylpyruvate tautomerase)</x:v>
      </x:c>
      <x:c r="E42" s="98" t="str">
        <x:v>MIF family</x:v>
      </x:c>
      <x:c r="F42" s="99" t="n">
        <x:v>0.827365</x:v>
      </x:c>
      <x:c r="G42" s="100" t="n">
        <x:v>41</x:v>
      </x:c>
      <x:c r="H42" s="96" t="str">
        <x:v>Rank21_50_extended</x:v>
      </x:c>
      <x:c r="I42" s="96" t="str">
        <x:v>Homo sapiens (Human)</x:v>
      </x:c>
      <x:c r="J42" s="96" t="n">
        <x:v>9606</x:v>
      </x:c>
      <x:c r="K42" s="98" t="str">
        <x:v>prediction_only</x:v>
      </x:c>
      <x:c r="L42" s="98" t="str">
        <x:v>Include_as_NetInfer_prediction</x:v>
      </x:c>
    </x:row>
    <x:row r="43" ht="15" hidden="0" customHeight="1">
      <x:c r="A43" s="96" t="str">
        <x:v>PAX8</x:v>
      </x:c>
      <x:c r="B43" s="96" t="str">
        <x:v>Q06710</x:v>
      </x:c>
      <x:c r="C43" s="96" t="str">
        <x:v>7849</x:v>
      </x:c>
      <x:c r="D43" s="98" t="str">
        <x:v>Paired box protein Pax-8</x:v>
      </x:c>
      <x:c r="E43" s="98" t="str">
        <x:v>NA</x:v>
      </x:c>
      <x:c r="F43" s="99" t="n">
        <x:v>0.816687</x:v>
      </x:c>
      <x:c r="G43" s="100" t="n">
        <x:v>42</x:v>
      </x:c>
      <x:c r="H43" s="96" t="str">
        <x:v>Rank21_50_extended</x:v>
      </x:c>
      <x:c r="I43" s="96" t="str">
        <x:v>Homo sapiens (Human)</x:v>
      </x:c>
      <x:c r="J43" s="96" t="n">
        <x:v>9606</x:v>
      </x:c>
      <x:c r="K43" s="98" t="str">
        <x:v>prediction_only</x:v>
      </x:c>
      <x:c r="L43" s="98" t="str">
        <x:v>Include_as_NetInfer_prediction</x:v>
      </x:c>
    </x:row>
    <x:row r="44" ht="24" hidden="0" customHeight="1">
      <x:c r="A44" s="96" t="str">
        <x:v>GLRA1</x:v>
      </x:c>
      <x:c r="B44" s="96" t="str">
        <x:v>P23415</x:v>
      </x:c>
      <x:c r="C44" s="96" t="str">
        <x:v>2741</x:v>
      </x:c>
      <x:c r="D44" s="98" t="str">
        <x:v>Glycine receptor subunit alpha-1 (Glycine receptor 48 kDa subunit) (Glycine receptor strychnine-binding subunit)</x:v>
      </x:c>
      <x:c r="E44" s="98" t="str">
        <x:v>Ligand-gated ion channel (TC 1.A.9) family, Glycine receptor (TC 1.A.9.3) subfamily, GLRA1 sub-subfamily</x:v>
      </x:c>
      <x:c r="F44" s="99" t="n">
        <x:v>0.81402</x:v>
      </x:c>
      <x:c r="G44" s="100" t="n">
        <x:v>43</x:v>
      </x:c>
      <x:c r="H44" s="96" t="str">
        <x:v>Rank21_50_extended</x:v>
      </x:c>
      <x:c r="I44" s="96" t="str">
        <x:v>Homo sapiens (Human)</x:v>
      </x:c>
      <x:c r="J44" s="96" t="n">
        <x:v>9606</x:v>
      </x:c>
      <x:c r="K44" s="98" t="str">
        <x:v>prediction_only</x:v>
      </x:c>
      <x:c r="L44" s="98" t="str">
        <x:v>Include_as_NetInfer_prediction</x:v>
      </x:c>
    </x:row>
    <x:row r="45" ht="24" hidden="0" customHeight="1">
      <x:c r="A45" s="96" t="str">
        <x:v>PPM1B</x:v>
      </x:c>
      <x:c r="B45" s="96" t="str">
        <x:v>O75688</x:v>
      </x:c>
      <x:c r="C45" s="96" t="str">
        <x:v>5495</x:v>
      </x:c>
      <x:c r="D45" s="98" t="str">
        <x:v>Protein phosphatase 1B (EC 3.1.3.16) (Protein phosphatase 2C isoform beta) (PP2C-beta)</x:v>
      </x:c>
      <x:c r="E45" s="98" t="str">
        <x:v>PP2C family</x:v>
      </x:c>
      <x:c r="F45" s="99" t="n">
        <x:v>0.810353</x:v>
      </x:c>
      <x:c r="G45" s="100" t="n">
        <x:v>44</x:v>
      </x:c>
      <x:c r="H45" s="96" t="str">
        <x:v>Rank21_50_extended</x:v>
      </x:c>
      <x:c r="I45" s="96" t="str">
        <x:v>Homo sapiens (Human)</x:v>
      </x:c>
      <x:c r="J45" s="96" t="n">
        <x:v>9606</x:v>
      </x:c>
      <x:c r="K45" s="98" t="str">
        <x:v>prediction_only</x:v>
      </x:c>
      <x:c r="L45" s="98" t="str">
        <x:v>Include_as_NetInfer_prediction</x:v>
      </x:c>
    </x:row>
    <x:row r="46" ht="15" hidden="0" customHeight="1">
      <x:c r="A46" s="96" t="str">
        <x:v>DRD4</x:v>
      </x:c>
      <x:c r="B46" s="96" t="str">
        <x:v>P21917</x:v>
      </x:c>
      <x:c r="C46" s="96" t="str">
        <x:v>1815</x:v>
      </x:c>
      <x:c r="D46" s="98" t="str">
        <x:v>D(4) dopamine receptor (D(2C) dopamine receptor) (Dopamine D4 receptor)</x:v>
      </x:c>
      <x:c r="E46" s="98" t="str">
        <x:v>G-protein coupled receptor 1 family</x:v>
      </x:c>
      <x:c r="F46" s="99" t="n">
        <x:v>0.806715</x:v>
      </x:c>
      <x:c r="G46" s="100" t="n">
        <x:v>45</x:v>
      </x:c>
      <x:c r="H46" s="96" t="str">
        <x:v>Rank21_50_extended</x:v>
      </x:c>
      <x:c r="I46" s="96" t="str">
        <x:v>Homo sapiens (Human)</x:v>
      </x:c>
      <x:c r="J46" s="96" t="n">
        <x:v>9606</x:v>
      </x:c>
      <x:c r="K46" s="98" t="str">
        <x:v>prediction_only</x:v>
      </x:c>
      <x:c r="L46" s="98" t="str">
        <x:v>Include_as_NetInfer_prediction</x:v>
      </x:c>
    </x:row>
    <x:row r="47" ht="15" hidden="0" customHeight="1">
      <x:c r="A47" s="96" t="str">
        <x:v>NR3C1</x:v>
      </x:c>
      <x:c r="B47" s="96" t="str">
        <x:v>P04150</x:v>
      </x:c>
      <x:c r="C47" s="96" t="str">
        <x:v>2908</x:v>
      </x:c>
      <x:c r="D47" s="98" t="str">
        <x:v>Glucocorticoid receptor (GR) (Nuclear receptor subfamily 3 group C member 1)</x:v>
      </x:c>
      <x:c r="E47" s="98" t="str">
        <x:v>Nuclear hormone receptor family, NR3 subfamily</x:v>
      </x:c>
      <x:c r="F47" s="99" t="n">
        <x:v>0.804871</x:v>
      </x:c>
      <x:c r="G47" s="100" t="n">
        <x:v>46</x:v>
      </x:c>
      <x:c r="H47" s="96" t="str">
        <x:v>Rank21_50_extended</x:v>
      </x:c>
      <x:c r="I47" s="96" t="str">
        <x:v>Homo sapiens (Human)</x:v>
      </x:c>
      <x:c r="J47" s="96" t="n">
        <x:v>9606</x:v>
      </x:c>
      <x:c r="K47" s="98" t="str">
        <x:v>prediction_only</x:v>
      </x:c>
      <x:c r="L47" s="98" t="str">
        <x:v>Include_as_NetInfer_prediction</x:v>
      </x:c>
    </x:row>
    <x:row r="48" ht="24" hidden="0" customHeight="1">
      <x:c r="A48" s="96" t="str">
        <x:v>PTGFR</x:v>
      </x:c>
      <x:c r="B48" s="96" t="str">
        <x:v>P43088</x:v>
      </x:c>
      <x:c r="C48" s="96" t="str">
        <x:v>5737</x:v>
      </x:c>
      <x:c r="D48" s="98" t="str">
        <x:v>Prostaglandin F2-alpha receptor (PGF receptor) (PGF2-alpha receptor) (Prostanoid FP receptor)</x:v>
      </x:c>
      <x:c r="E48" s="98" t="str">
        <x:v>G-protein coupled receptor 1 family</x:v>
      </x:c>
      <x:c r="F48" s="99" t="n">
        <x:v>0.787381</x:v>
      </x:c>
      <x:c r="G48" s="100" t="n">
        <x:v>47</x:v>
      </x:c>
      <x:c r="H48" s="96" t="str">
        <x:v>Rank21_50_extended</x:v>
      </x:c>
      <x:c r="I48" s="96" t="str">
        <x:v>Homo sapiens (Human)</x:v>
      </x:c>
      <x:c r="J48" s="96" t="n">
        <x:v>9606</x:v>
      </x:c>
      <x:c r="K48" s="98" t="str">
        <x:v>prediction_only</x:v>
      </x:c>
      <x:c r="L48" s="98" t="str">
        <x:v>Include_as_NetInfer_prediction</x:v>
      </x:c>
    </x:row>
    <x:row r="49" ht="36" hidden="0" customHeight="1">
      <x:c r="A49" s="96" t="str">
        <x:v>SIGMAR1</x:v>
      </x:c>
      <x:c r="B49" s="96" t="str">
        <x:v>Q99720</x:v>
      </x:c>
      <x:c r="C49" s="96" t="str">
        <x:v>10280</x:v>
      </x:c>
      <x:c r="D49" s="98" t="str">
        <x:v>Sigma non-opioid intracellular receptor 1 (Aging-associated gene 8 protein) (SR31747-binding protein) (SR-BP) (Sigma 1-type opioid receptor) (SIG-1R) (Sigma1-receptor) (Sigma1R) (hSigmaR1)</x:v>
      </x:c>
      <x:c r="E49" s="98" t="str">
        <x:v>ERG2 family</x:v>
      </x:c>
      <x:c r="F49" s="99" t="n">
        <x:v>0.760891</x:v>
      </x:c>
      <x:c r="G49" s="100" t="n">
        <x:v>48</x:v>
      </x:c>
      <x:c r="H49" s="96" t="str">
        <x:v>Rank21_50_extended</x:v>
      </x:c>
      <x:c r="I49" s="96" t="str">
        <x:v>Homo sapiens (Human)</x:v>
      </x:c>
      <x:c r="J49" s="96" t="n">
        <x:v>9606</x:v>
      </x:c>
      <x:c r="K49" s="98" t="str">
        <x:v>prediction_only</x:v>
      </x:c>
      <x:c r="L49" s="98" t="str">
        <x:v>Include_as_NetInfer_prediction</x:v>
      </x:c>
    </x:row>
    <x:row r="50" ht="24" hidden="0" customHeight="1">
      <x:c r="A50" s="96" t="str">
        <x:v>DRD5</x:v>
      </x:c>
      <x:c r="B50" s="96" t="str">
        <x:v>P21918</x:v>
      </x:c>
      <x:c r="C50" s="96" t="str">
        <x:v>1816</x:v>
      </x:c>
      <x:c r="D50" s="98" t="str">
        <x:v>D(1B) dopamine receptor (D(5) dopamine receptor) (D1beta dopamine receptor) (Dopamine D5 receptor)</x:v>
      </x:c>
      <x:c r="E50" s="98" t="str">
        <x:v>G-protein coupled receptor 1 family</x:v>
      </x:c>
      <x:c r="F50" s="99" t="n">
        <x:v>0.752704</x:v>
      </x:c>
      <x:c r="G50" s="100" t="n">
        <x:v>49</x:v>
      </x:c>
      <x:c r="H50" s="96" t="str">
        <x:v>Rank21_50_extended</x:v>
      </x:c>
      <x:c r="I50" s="96" t="str">
        <x:v>Homo sapiens (Human)</x:v>
      </x:c>
      <x:c r="J50" s="96" t="n">
        <x:v>9606</x:v>
      </x:c>
      <x:c r="K50" s="98" t="str">
        <x:v>prediction_only</x:v>
      </x:c>
      <x:c r="L50" s="98" t="str">
        <x:v>Include_as_NetInfer_prediction</x:v>
      </x:c>
    </x:row>
    <x:row r="51" ht="15" hidden="0" customHeight="1">
      <x:c r="A51" s="96" t="str">
        <x:v>ADORA2A</x:v>
      </x:c>
      <x:c r="B51" s="96" t="str">
        <x:v>P29274</x:v>
      </x:c>
      <x:c r="C51" s="96" t="str">
        <x:v>135</x:v>
      </x:c>
      <x:c r="D51" s="98" t="str">
        <x:v>Adenosine receptor A2a</x:v>
      </x:c>
      <x:c r="E51" s="98" t="str">
        <x:v>G-protein coupled receptor 1 family</x:v>
      </x:c>
      <x:c r="F51" s="99" t="n">
        <x:v>0.752609</x:v>
      </x:c>
      <x:c r="G51" s="100" t="n">
        <x:v>50</x:v>
      </x:c>
      <x:c r="H51" s="96" t="str">
        <x:v>Rank21_50_extended</x:v>
      </x:c>
      <x:c r="I51" s="96" t="str">
        <x:v>Homo sapiens (Human)</x:v>
      </x:c>
      <x:c r="J51" s="96" t="n">
        <x:v>9606</x:v>
      </x:c>
      <x:c r="K51" s="98" t="str">
        <x:v>prediction_only</x:v>
      </x:c>
      <x:c r="L51" s="98" t="str">
        <x:v>Include_as_NetInfer_prediction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674d09e056e84f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58" hidden="0" customWidth="1"/>
  </x:cols>
  <x:sheetData>
    <x:row r="1" ht="15" hidden="0" customHeight="1">
      <x:c r="A1" s="91" t="str">
        <x:v>Rank_Layer</x:v>
      </x:c>
      <x:c r="B1" s="92" t="str">
        <x:v>Maximum_Rank</x:v>
      </x:c>
      <x:c r="C1" s="92" t="str">
        <x:v>Target_Count</x:v>
      </x:c>
      <x:c r="D1" s="92" t="str">
        <x:v>Highest_Score</x:v>
      </x:c>
      <x:c r="E1" s="92" t="str">
        <x:v>Lowest_Score</x:v>
      </x:c>
      <x:c r="F1" s="92" t="str">
        <x:v>Mean_Score</x:v>
      </x:c>
      <x:c r="G1" s="92" t="str">
        <x:v>Median_Score</x:v>
      </x:c>
      <x:c r="H1" s="93" t="str">
        <x:v>Interpretation</x:v>
      </x:c>
    </x:row>
    <x:row r="2" ht="15" hidden="0" customHeight="1">
      <x:c r="A2" t="str">
        <x:v>Top10</x:v>
      </x:c>
      <x:c r="B2" s="106" t="n">
        <x:v>10</x:v>
      </x:c>
      <x:c r="C2" s="106" t="n">
        <x:f>COUNT('Predicted_Top50'!$A$2:$A$11)</x:f>
        <x:v>10</x:v>
      </x:c>
      <x:c r="D2" s="107" t="n">
        <x:f>MAX('Predicted_Top50'!$G$2:$G$11)</x:f>
        <x:v>2.67584</x:v>
      </x:c>
      <x:c r="E2" s="107" t="n">
        <x:f>MIN('Predicted_Top50'!$G$2:$G$11)</x:f>
        <x:v>1.65222</x:v>
      </x:c>
      <x:c r="F2" s="107" t="n">
        <x:f>AVERAGE('Predicted_Top50'!$G$2:$G$11)</x:f>
        <x:v>2.1298250000000003</x:v>
      </x:c>
      <x:c r="G2" s="107" t="n">
        <x:f>MEDIAN('Predicted_Top50'!$G$2:$G$11)</x:f>
        <x:v>2.12461</x:v>
      </x:c>
      <x:c r="H2" s="16" t="str">
        <x:v>Descriptive rank layer only; not an official NetInfer threshold</x:v>
      </x:c>
    </x:row>
    <x:row r="3" ht="15" hidden="0" customHeight="1">
      <x:c r="A3" t="str">
        <x:v>Top20</x:v>
      </x:c>
      <x:c r="B3" s="106" t="n">
        <x:v>20</x:v>
      </x:c>
      <x:c r="C3" s="106" t="n">
        <x:f>COUNT('Predicted_Top50'!$A$2:$A$21)</x:f>
        <x:v>20</x:v>
      </x:c>
      <x:c r="D3" s="107" t="n">
        <x:f>MAX('Predicted_Top50'!$G$2:$G$21)</x:f>
        <x:v>2.67584</x:v>
      </x:c>
      <x:c r="E3" s="107" t="n">
        <x:f>MIN('Predicted_Top50'!$G$2:$G$21)</x:f>
        <x:v>1.26933</x:v>
      </x:c>
      <x:c r="F3" s="107" t="n">
        <x:f>AVERAGE('Predicted_Top50'!$G$2:$G$21)</x:f>
        <x:v>1.8026900000000006</x:v>
      </x:c>
      <x:c r="G3" s="107" t="n">
        <x:f>MEDIAN('Predicted_Top50'!$G$2:$G$21)</x:f>
        <x:v>1.646335</x:v>
      </x:c>
      <x:c r="H3" s="16" t="str">
        <x:v>Descriptive rank layer only; not an official NetInfer threshold</x:v>
      </x:c>
    </x:row>
    <x:row r="4" ht="15" hidden="0" customHeight="1">
      <x:c r="A4" t="str">
        <x:v>Top30</x:v>
      </x:c>
      <x:c r="B4" s="106" t="n">
        <x:v>30</x:v>
      </x:c>
      <x:c r="C4" s="106" t="n">
        <x:f>COUNT('Predicted_Top50'!$A$2:$A$31)</x:f>
        <x:v>30</x:v>
      </x:c>
      <x:c r="D4" s="107" t="n">
        <x:f>MAX('Predicted_Top50'!$G$2:$G$31)</x:f>
        <x:v>2.67584</x:v>
      </x:c>
      <x:c r="E4" s="107" t="n">
        <x:f>MIN('Predicted_Top50'!$G$2:$G$31)</x:f>
        <x:v>0.996497</x:v>
      </x:c>
      <x:c r="F4" s="107" t="n">
        <x:f>AVERAGE('Predicted_Top50'!$G$2:$G$31)</x:f>
        <x:v>1.5914712333333334</x:v>
      </x:c>
      <x:c r="G4" s="107" t="n">
        <x:f>MEDIAN('Predicted_Top50'!$G$2:$G$31)</x:f>
        <x:v>1.475365</x:v>
      </x:c>
      <x:c r="H4" s="16" t="str">
        <x:v>Descriptive rank layer only; not an official NetInfer threshold</x:v>
      </x:c>
    </x:row>
    <x:row r="5" ht="15" hidden="0" customHeight="1">
      <x:c r="A5" t="str">
        <x:v>Top50</x:v>
      </x:c>
      <x:c r="B5" s="106" t="n">
        <x:v>50</x:v>
      </x:c>
      <x:c r="C5" s="106" t="n">
        <x:f>COUNT('Predicted_Top50'!$A$2:$A$51)</x:f>
        <x:v>50</x:v>
      </x:c>
      <x:c r="D5" s="107" t="n">
        <x:f>MAX('Predicted_Top50'!$G$2:$G$51)</x:f>
        <x:v>2.67584</x:v>
      </x:c>
      <x:c r="E5" s="107" t="n">
        <x:f>MIN('Predicted_Top50'!$G$2:$G$51)</x:f>
        <x:v>0.752609</x:v>
      </x:c>
      <x:c r="F5" s="107" t="n">
        <x:f>AVERAGE('Predicted_Top50'!$G$2:$G$51)</x:f>
        <x:v>1.2999459000000002</x:v>
      </x:c>
      <x:c r="G5" s="107" t="n">
        <x:f>MEDIAN('Predicted_Top50'!$G$2:$G$51)</x:f>
        <x:v>1.18163</x:v>
      </x:c>
      <x:c r="H5" s="16" t="str">
        <x:v>Descriptive rank layer only; not an official NetInfer threshold</x:v>
      </x:c>
    </x:row>
  </x:sheetData>
  <x:pageMargins left="0.7" right="0.7" top="0.75" bottom="0.75" header="0.3" footer="0.3"/>
  <x:tableParts count="1">
    <x:tablePart xmlns:r="http://schemas.openxmlformats.org/officeDocument/2006/relationships" r:id="R2edbab2edccb4e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14" hidden="0" customWidth="1"/>
    <x:col min="5" max="5" width="12" hidden="0" customWidth="1"/>
    <x:col min="6" max="6" width="48" hidden="0" customWidth="1"/>
  </x:cols>
  <x:sheetData>
    <x:row r="1" ht="15" hidden="0" customHeight="1">
      <x:c r="A1" s="91" t="str">
        <x:v>Check_ID</x:v>
      </x:c>
      <x:c r="B1" s="92" t="str">
        <x:v>QC项目</x:v>
      </x:c>
      <x:c r="C1" s="92" t="str">
        <x:v>预期</x:v>
      </x:c>
      <x:c r="D1" s="92" t="str">
        <x:v>观察值</x:v>
      </x:c>
      <x:c r="E1" s="92" t="str">
        <x:v>状态</x:v>
      </x:c>
      <x:c r="F1" s="93" t="str">
        <x:v>说明</x:v>
      </x:c>
    </x:row>
    <x:row r="2" ht="15" hidden="0" customHeight="1">
      <x:c r="A2" t="str">
        <x:v>RAW_RECORDS</x:v>
      </x:c>
      <x:c r="B2" s="16" t="str">
        <x:v>完整审计记录数</x:v>
      </x:c>
      <x:c r="C2" s="106" t="n">
        <x:v>51</x:v>
      </x:c>
      <x:c r="D2" s="106" t="n">
        <x:f>COUNTA('Raw_Annotated'!$A$2:$A$52)</x:f>
        <x:v>51</x:v>
      </x:c>
      <x:c r="E2" t="str">
        <x:f>IF(D2=C2,"PASS","FAIL")</x:f>
        <x:v>PASS</x:v>
      </x:c>
      <x:c r="F2" s="16" t="str">
        <x:v>50预测 + 1 Known</x:v>
      </x:c>
    </x:row>
    <x:row r="3" ht="15" hidden="0" customHeight="1">
      <x:c r="A3" t="str">
        <x:v>PRED_RECORDS</x:v>
      </x:c>
      <x:c r="B3" s="16" t="str">
        <x:v>NetInfer预测记录数</x:v>
      </x:c>
      <x:c r="C3" s="106" t="n">
        <x:v>50</x:v>
      </x:c>
      <x:c r="D3" s="106" t="n">
        <x:f>COUNTA('Predicted_Top50'!$A$2:$A$51)</x:f>
        <x:v>50</x:v>
      </x:c>
      <x:c r="E3" t="str">
        <x:f>IF(D3=C3,"PASS","FAIL")</x:f>
        <x:v>PASS</x:v>
      </x:c>
      <x:c r="F3" s="16" t="str">
        <x:v>仅数字Rank 1–50</x:v>
      </x:c>
    </x:row>
    <x:row r="4" ht="15" hidden="0" customHeight="1">
      <x:c r="A4" t="str">
        <x:v>KNOWN_RECORDS</x:v>
      </x:c>
      <x:c r="B4" s="16" t="str">
        <x:v>Known参考记录数</x:v>
      </x:c>
      <x:c r="C4" s="106" t="n">
        <x:v>1</x:v>
      </x:c>
      <x:c r="D4" s="106" t="n">
        <x:f>COUNTA('Known_Reference'!$A$2:$A$2)</x:f>
        <x:v>1</x:v>
      </x:c>
      <x:c r="E4" t="str">
        <x:f>IF(D4=C4,"PASS","FAIL")</x:f>
        <x:v>PASS</x:v>
      </x:c>
      <x:c r="F4" s="16" t="str">
        <x:v>GLRA2单列</x:v>
      </x:c>
    </x:row>
    <x:row r="5" ht="15" hidden="0" customHeight="1">
      <x:c r="A5" t="str">
        <x:v>TOP20_COUNT</x:v>
      </x:c>
      <x:c r="B5" s="16" t="str">
        <x:v>Top20描述层记录数</x:v>
      </x:c>
      <x:c r="C5" s="106" t="n">
        <x:v>20</x:v>
      </x:c>
      <x:c r="D5" s="106" t="n">
        <x:f>COUNTA('Priority_Top20'!$A$2:$A$21)</x:f>
        <x:v>20</x:v>
      </x:c>
      <x:c r="E5" t="str">
        <x:f>IF(D5=C5,"PASS","FAIL")</x:f>
        <x:v>PASS</x:v>
      </x:c>
      <x:c r="F5" s="16" t="str">
        <x:v>非官方阈值</x:v>
      </x:c>
    </x:row>
    <x:row r="6" ht="15" hidden="0" customHeight="1">
      <x:c r="A6" t="str">
        <x:v>HUMAN_RECORDS</x:v>
      </x:c>
      <x:c r="B6" s="16" t="str">
        <x:v>人源记录数</x:v>
      </x:c>
      <x:c r="C6" s="106" t="n">
        <x:v>51</x:v>
      </x:c>
      <x:c r="D6" s="106" t="n">
        <x:f>COUNTIF('Raw_Annotated'!$N$2:$N$52,"Homo sapiens (Human)")</x:f>
        <x:v>51</x:v>
      </x:c>
      <x:c r="E6" t="str">
        <x:f>IF(D6=C6,"PASS","FAIL")</x:f>
        <x:v>PASS</x:v>
      </x:c>
      <x:c r="F6" s="16" t="str">
        <x:v>Homo sapiens (Human)</x:v>
      </x:c>
    </x:row>
    <x:row r="7" ht="15" hidden="0" customHeight="1">
      <x:c r="A7" t="str">
        <x:v>FAMILY_NA</x:v>
      </x:c>
      <x:c r="B7" s="16" t="str">
        <x:v>Protein family缺失并记NA</x:v>
      </x:c>
      <x:c r="C7" s="106" t="n">
        <x:v>3</x:v>
      </x:c>
      <x:c r="D7" s="106" t="n">
        <x:f>COUNTIF('Raw_Annotated'!$J$2:$J$52,"NA")</x:f>
        <x:v>3</x:v>
      </x:c>
      <x:c r="E7" t="str">
        <x:f>IF(D7=C7,"PASS","FAIL")</x:f>
        <x:v>PASS</x:v>
      </x:c>
      <x:c r="F7" s="16" t="str">
        <x:v>CBX1、SHBG、PAX8</x:v>
      </x:c>
    </x:row>
    <x:row r="8" ht="15" hidden="0" customHeight="1">
      <x:c r="A8" t="str">
        <x:v>RANK_MIN</x:v>
      </x:c>
      <x:c r="B8" s="16" t="str">
        <x:v>预测最小Rank</x:v>
      </x:c>
      <x:c r="C8" s="106" t="n">
        <x:v>1</x:v>
      </x:c>
      <x:c r="D8" s="106" t="n">
        <x:f>MIN('Predicted_Top50'!$A$2:$A$51)</x:f>
        <x:v>1</x:v>
      </x:c>
      <x:c r="E8" t="str">
        <x:f>IF(D8=C8,"PASS","FAIL")</x:f>
        <x:v>PASS</x:v>
      </x:c>
      <x:c r="F8" s="16" t="str">
        <x:v>数字Rank</x:v>
      </x:c>
    </x:row>
    <x:row r="9" ht="15" hidden="0" customHeight="1">
      <x:c r="A9" t="str">
        <x:v>RANK_MAX</x:v>
      </x:c>
      <x:c r="B9" s="16" t="str">
        <x:v>预测最大Rank</x:v>
      </x:c>
      <x:c r="C9" s="106" t="n">
        <x:v>50</x:v>
      </x:c>
      <x:c r="D9" s="106" t="n">
        <x:f>MAX('Predicted_Top50'!$A$2:$A$51)</x:f>
        <x:v>50</x:v>
      </x:c>
      <x:c r="E9" t="str">
        <x:f>IF(D9=C9,"PASS","FAIL")</x:f>
        <x:v>PASS</x:v>
      </x:c>
      <x:c r="F9" s="16" t="str">
        <x:v>数字Rank</x:v>
      </x:c>
    </x:row>
    <x:row r="10" ht="15" hidden="0" customHeight="1">
      <x:c r="A10" t="str">
        <x:v>GENE_COUNT</x:v>
      </x:c>
      <x:c r="B10" s="16" t="str">
        <x:v>预测Gene Symbol数量</x:v>
      </x:c>
      <x:c r="C10" s="106" t="n">
        <x:v>50</x:v>
      </x:c>
      <x:c r="D10" s="106" t="n">
        <x:f>COUNTA('Gene_Level'!$A$2:$A$51)</x:f>
        <x:v>50</x:v>
      </x:c>
      <x:c r="E10" t="str">
        <x:f>IF(D10=C10,"PASS","FAIL")</x:f>
        <x:v>PASS</x:v>
      </x:c>
      <x:c r="F10" s="16" t="str">
        <x:v>全部唯一</x:v>
      </x:c>
    </x:row>
    <x:row r="11" ht="15" hidden="0" customHeight="1">
      <x:c r="A11" t="str">
        <x:v>GLRA2_KNOWN</x:v>
      </x:c>
      <x:c r="B11" s="16" t="str">
        <x:v>Known表包含GLRA2</x:v>
      </x:c>
      <x:c r="C11" s="106" t="n">
        <x:v>1</x:v>
      </x:c>
      <x:c r="D11" s="106" t="n">
        <x:f>COUNTIF('Known_Reference'!$B$2:$B$2,"GLRA2")</x:f>
        <x:v>1</x:v>
      </x:c>
      <x:c r="E11" t="str">
        <x:f>IF(D11=C11,"PASS","FAIL")</x:f>
        <x:v>PASS</x:v>
      </x:c>
      <x:c r="F11" s="16" t="str">
        <x:v>不能当作Rank 51</x:v>
      </x:c>
    </x:row>
    <x:row r="12" ht="15" hidden="0" customHeight="1">
      <x:c r="A12" t="str">
        <x:v>GLRA2_NOT_PRED</x:v>
      </x:c>
      <x:c r="B12" s="16" t="str">
        <x:v>预测表中GLRA2数量</x:v>
      </x:c>
      <x:c r="C12" s="106" t="n">
        <x:v>0</x:v>
      </x:c>
      <x:c r="D12" s="106" t="n">
        <x:f>COUNTIF('Predicted_Top50'!$B$2:$B$51,"GLRA2")</x:f>
        <x:v>0</x:v>
      </x:c>
      <x:c r="E12" t="str">
        <x:f>IF(D12=C12,"PASS","FAIL")</x:f>
        <x:v>PASS</x:v>
      </x:c>
      <x:c r="F12" s="16" t="str">
        <x:v>应为0</x:v>
      </x:c>
    </x:row>
    <x:row r="13" ht="15" hidden="0" customHeight="1">
      <x:c r="A13" t="str">
        <x:v>TIED_SCORE</x:v>
      </x:c>
      <x:c r="B13" s="16" t="str">
        <x:v>Score=1.64045记录数</x:v>
      </x:c>
      <x:c r="C13" s="106" t="n">
        <x:v>2</x:v>
      </x:c>
      <x:c r="D13" s="106" t="n">
        <x:f>COUNTIF('Predicted_Top50'!$G$2:$G$51,1.64045)</x:f>
        <x:v>2</x:v>
      </x:c>
      <x:c r="E13" t="str">
        <x:f>IF(D13=C13,"PASS","FAIL")</x:f>
        <x:v>PASS</x:v>
      </x:c>
      <x:c r="F13" s="16" t="str">
        <x:v>CHRNA10与CHRNA9</x:v>
      </x:c>
    </x:row>
    <x:row r="14" ht="15" hidden="0" customHeight="1">
      <x:c r="A14" t="str">
        <x:v>STRUCTURE_CID</x:v>
      </x:c>
      <x:c r="B14" s="16" t="str">
        <x:v>结构身份核验记录数</x:v>
      </x:c>
      <x:c r="C14" s="106" t="n">
        <x:v>51</x:v>
      </x:c>
      <x:c r="D14" s="106" t="n">
        <x:f>COUNTIF('Raw_Annotated'!$G$2:$G$52,"Both SMILES resolved to PubChem CID 73581 by PUG REST fastidentity (2026-07-14)")</x:f>
        <x:v>51</x:v>
      </x:c>
      <x:c r="E14" t="str">
        <x:f>IF(D14=C14,"PASS","FAIL")</x:f>
        <x:v>PASS</x:v>
      </x:c>
      <x:c r="F14" s="16" t="str">
        <x:v>两种SMILES均解析至CID 73581</x:v>
      </x:c>
    </x:row>
  </x:sheetData>
  <x:conditionalFormatting sqref="E2:E14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c956ab5223e479d"/>
  </x:tableParts>
</x:worksheet>
</file>